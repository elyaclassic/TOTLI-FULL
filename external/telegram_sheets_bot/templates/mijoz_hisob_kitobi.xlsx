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inlineStr">
        <is>
          <t>2026-04-16</t>
        </is>
      </c>
      <c r="B64" s="5" t="inlineStr">
        <is>
          <t>12:16:07</t>
        </is>
      </c>
      <c r="C64" s="6" t="n">
        <v>27</v>
      </c>
      <c r="D64" s="6" t="inlineStr">
        <is>
          <t>Islomxon usta Ganjiravon</t>
        </is>
      </c>
      <c r="E64" s="6" t="inlineStr">
        <is>
          <t>chiqim</t>
        </is>
      </c>
      <c r="F64" s="6" t="inlineStr">
        <is>
          <t>USD</t>
        </is>
      </c>
      <c r="G64" s="7" t="n">
        <v>50</v>
      </c>
      <c r="H64" s="8" t="n">
        <v>12210</v>
      </c>
      <c r="I64" s="8" t="n">
        <v>610500</v>
      </c>
      <c r="J64" s="8" t="n">
        <v>50</v>
      </c>
      <c r="K64" s="6" t="inlineStr">
        <is>
          <t>Telegram orqali chiqim</t>
        </is>
      </c>
      <c r="L64" s="6" t="inlineStr">
        <is>
          <t>@Zapchast_2121</t>
        </is>
      </c>
      <c r="M64" s="6" t="inlineStr">
        <is>
          <t>chiqim USD 50 Islomxon usta Ganjiravon</t>
        </is>
      </c>
      <c r="N64" s="6" t="inlineStr">
        <is>
          <t>matn</t>
        </is>
      </c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IF(A33="","",SUMIFS(Operatsiyalar!$I:$I,Operatsiyalar!$C:$C,A33,Operatsiyalar!$E:$E,"kirim"))</f>
        <v/>
      </c>
      <c r="G30" s="8">
        <f>IF(A33="","",SUMIFS(Operatsiyalar!$J:$J,Operatsiyalar!$C:$C,A33,Operatsiyalar!$E:$E,"kirim"))</f>
        <v/>
      </c>
      <c r="H30" s="8">
        <f>IF(A33="","",SUMIFS(Operatsiyalar!$I:$I,Operatsiyalar!$C:$C,A33,Operatsiyalar!$E:$E,"chiqim"))</f>
        <v/>
      </c>
      <c r="I30" s="8">
        <f>IF(A33="","",SUMIFS(Operatsiyalar!$J:$J,Operatsiyalar!$C:$C,A33,Operatsiyalar!$E:$E,"chiqim"))</f>
        <v/>
      </c>
      <c r="J30" s="8">
        <f>IF(A33="","",D33+H33-F33)</f>
        <v/>
      </c>
      <c r="K30" s="8">
        <f>IF(A33="","",E33+I33-G33)</f>
        <v/>
      </c>
    </row>
    <row r="31">
      <c r="A31" s="5" t="n"/>
      <c r="B31" s="5" t="n"/>
      <c r="C31" s="6" t="n"/>
      <c r="D31" s="8" t="n"/>
      <c r="E31" s="8" t="n"/>
      <c r="F31" s="8">
        <f>IF(A34="","",SUMIFS(Operatsiyalar!$I:$I,Operatsiyalar!$C:$C,A34,Operatsiyalar!$E:$E,"kirim"))</f>
        <v/>
      </c>
      <c r="G31" s="8">
        <f>IF(A34="","",SUMIFS(Operatsiyalar!$J:$J,Operatsiyalar!$C:$C,A34,Operatsiyalar!$E:$E,"kirim"))</f>
        <v/>
      </c>
      <c r="H31" s="8">
        <f>IF(A34="","",SUMIFS(Operatsiyalar!$I:$I,Operatsiyalar!$C:$C,A34,Operatsiyalar!$E:$E,"chiqim"))</f>
        <v/>
      </c>
      <c r="I31" s="8">
        <f>IF(A34="","",SUMIFS(Operatsiyalar!$J:$J,Operatsiyalar!$C:$C,A34,Operatsiyalar!$E:$E,"chiqim"))</f>
        <v/>
      </c>
      <c r="J31" s="8">
        <f>IF(A34="","",D34+H34-F34)</f>
        <v/>
      </c>
      <c r="K31" s="8">
        <f>IF(A34="","",E34+I34-G34)</f>
        <v/>
      </c>
    </row>
    <row r="32">
      <c r="A32" s="5" t="n"/>
      <c r="B32" s="5" t="n"/>
      <c r="C32" s="6" t="n"/>
      <c r="D32" s="8" t="n"/>
      <c r="E32" s="8" t="n"/>
      <c r="F32" s="8">
        <f>IF(A35="","",SUMIFS(Operatsiyalar!$I:$I,Operatsiyalar!$C:$C,A35,Operatsiyalar!$E:$E,"kirim"))</f>
        <v/>
      </c>
      <c r="G32" s="8">
        <f>IF(A35="","",SUMIFS(Operatsiyalar!$J:$J,Operatsiyalar!$C:$C,A35,Operatsiyalar!$E:$E,"kirim"))</f>
        <v/>
      </c>
      <c r="H32" s="8">
        <f>IF(A35="","",SUMIFS(Operatsiyalar!$I:$I,Operatsiyalar!$C:$C,A35,Operatsiyalar!$E:$E,"chiqim"))</f>
        <v/>
      </c>
      <c r="I32" s="8">
        <f>IF(A35="","",SUMIFS(Operatsiyalar!$J:$J,Operatsiyalar!$C:$C,A35,Operatsiyalar!$E:$E,"chiqim"))</f>
        <v/>
      </c>
      <c r="J32" s="8">
        <f>IF(A35="","",D35+H35-F35)</f>
        <v/>
      </c>
      <c r="K32" s="8">
        <f>IF(A35="","",E35+I35-G35)</f>
        <v/>
      </c>
    </row>
    <row r="33">
      <c r="A33" s="5" t="n"/>
      <c r="B33" s="5" t="n"/>
      <c r="C33" s="6" t="n"/>
      <c r="D33" s="8" t="n"/>
      <c r="E33" s="8" t="n"/>
      <c r="F33" s="8">
        <f>IF(A36="","",SUMIFS(Operatsiyalar!$I:$I,Operatsiyalar!$C:$C,A36,Operatsiyalar!$E:$E,"kirim"))</f>
        <v/>
      </c>
      <c r="G33" s="8">
        <f>IF(A36="","",SUMIFS(Operatsiyalar!$J:$J,Operatsiyalar!$C:$C,A36,Operatsiyalar!$E:$E,"kirim"))</f>
        <v/>
      </c>
      <c r="H33" s="8">
        <f>IF(A36="","",SUMIFS(Operatsiyalar!$I:$I,Operatsiyalar!$C:$C,A36,Operatsiyalar!$E:$E,"chiqim"))</f>
        <v/>
      </c>
      <c r="I33" s="8">
        <f>IF(A36="","",SUMIFS(Operatsiyalar!$J:$J,Operatsiyalar!$C:$C,A36,Operatsiyalar!$E:$E,"chiqim"))</f>
        <v/>
      </c>
      <c r="J33" s="8">
        <f>IF(A36="","",D36+H36-F36)</f>
        <v/>
      </c>
      <c r="K33" s="8">
        <f>IF(A36="","",E36+I36-G36)</f>
        <v/>
      </c>
    </row>
    <row r="34">
      <c r="A34" s="5" t="n"/>
      <c r="B34" s="5" t="n"/>
      <c r="C34" s="6" t="n"/>
      <c r="D34" s="8" t="n"/>
      <c r="E34" s="8" t="n"/>
      <c r="F34" s="8">
        <f>IF(A37="","",SUMIFS(Operatsiyalar!$I:$I,Operatsiyalar!$C:$C,A37,Operatsiyalar!$E:$E,"kirim"))</f>
        <v/>
      </c>
      <c r="G34" s="8">
        <f>IF(A37="","",SUMIFS(Operatsiyalar!$J:$J,Operatsiyalar!$C:$C,A37,Operatsiyalar!$E:$E,"kirim"))</f>
        <v/>
      </c>
      <c r="H34" s="8">
        <f>IF(A37="","",SUMIFS(Operatsiyalar!$I:$I,Operatsiyalar!$C:$C,A37,Operatsiyalar!$E:$E,"chiqim"))</f>
        <v/>
      </c>
      <c r="I34" s="8">
        <f>IF(A37="","",SUMIFS(Operatsiyalar!$J:$J,Operatsiyalar!$C:$C,A37,Operatsiyalar!$E:$E,"chiqim"))</f>
        <v/>
      </c>
      <c r="J34" s="8">
        <f>IF(A37="","",D37+H37-F37)</f>
        <v/>
      </c>
      <c r="K34" s="8">
        <f>IF(A37="","",E37+I37-G37)</f>
        <v/>
      </c>
    </row>
    <row r="35">
      <c r="A35" s="5" t="n"/>
      <c r="B35" s="5" t="n"/>
      <c r="C35" s="6" t="n"/>
      <c r="D35" s="8" t="n"/>
      <c r="E35" s="8" t="n"/>
      <c r="F35" s="8">
        <f>IF(A38="","",SUMIFS(Operatsiyalar!$I:$I,Operatsiyalar!$C:$C,A38,Operatsiyalar!$E:$E,"kirim"))</f>
        <v/>
      </c>
      <c r="G35" s="8">
        <f>IF(A38="","",SUMIFS(Operatsiyalar!$J:$J,Operatsiyalar!$C:$C,A38,Operatsiyalar!$E:$E,"kirim"))</f>
        <v/>
      </c>
      <c r="H35" s="8">
        <f>IF(A38="","",SUMIFS(Operatsiyalar!$I:$I,Operatsiyalar!$C:$C,A38,Operatsiyalar!$E:$E,"chiqim"))</f>
        <v/>
      </c>
      <c r="I35" s="8">
        <f>IF(A38="","",SUMIFS(Operatsiyalar!$J:$J,Operatsiyalar!$C:$C,A38,Operatsiyalar!$E:$E,"chiqim"))</f>
        <v/>
      </c>
      <c r="J35" s="8">
        <f>IF(A38="","",D38+H38-F38)</f>
        <v/>
      </c>
      <c r="K35" s="8">
        <f>IF(A38="","",E38+I38-G38)</f>
        <v/>
      </c>
    </row>
    <row r="36">
      <c r="A36" s="5" t="n"/>
      <c r="B36" s="5" t="n"/>
      <c r="C36" s="6" t="n"/>
      <c r="D36" s="8" t="n"/>
      <c r="E36" s="8" t="n"/>
      <c r="F36" s="8">
        <f>IF(A39="","",SUMIFS(Operatsiyalar!$I:$I,Operatsiyalar!$C:$C,A39,Operatsiyalar!$E:$E,"kirim"))</f>
        <v/>
      </c>
      <c r="G36" s="8">
        <f>IF(A39="","",SUMIFS(Operatsiyalar!$J:$J,Operatsiyalar!$C:$C,A39,Operatsiyalar!$E:$E,"kirim"))</f>
        <v/>
      </c>
      <c r="H36" s="8">
        <f>IF(A39="","",SUMIFS(Operatsiyalar!$I:$I,Operatsiyalar!$C:$C,A39,Operatsiyalar!$E:$E,"chiqim"))</f>
        <v/>
      </c>
      <c r="I36" s="8">
        <f>IF(A39="","",SUMIFS(Operatsiyalar!$J:$J,Operatsiyalar!$C:$C,A39,Operatsiyalar!$E:$E,"chiqim"))</f>
        <v/>
      </c>
      <c r="J36" s="8">
        <f>IF(A39="","",D39+H39-F39)</f>
        <v/>
      </c>
      <c r="K36" s="8">
        <f>IF(A39="","",E39+I39-G39)</f>
        <v/>
      </c>
    </row>
    <row r="37">
      <c r="A37" s="5" t="n"/>
      <c r="B37" s="5" t="n"/>
      <c r="C37" s="6" t="n"/>
      <c r="D37" s="8" t="n"/>
      <c r="E37" s="8" t="n"/>
      <c r="F37" s="8">
        <f>IF(A40="","",SUMIFS(Operatsiyalar!$I:$I,Operatsiyalar!$C:$C,A40,Operatsiyalar!$E:$E,"kirim"))</f>
        <v/>
      </c>
      <c r="G37" s="8">
        <f>IF(A40="","",SUMIFS(Operatsiyalar!$J:$J,Operatsiyalar!$C:$C,A40,Operatsiyalar!$E:$E,"kirim"))</f>
        <v/>
      </c>
      <c r="H37" s="8">
        <f>IF(A40="","",SUMIFS(Operatsiyalar!$I:$I,Operatsiyalar!$C:$C,A40,Operatsiyalar!$E:$E,"chiqim"))</f>
        <v/>
      </c>
      <c r="I37" s="8">
        <f>IF(A40="","",SUMIFS(Operatsiyalar!$J:$J,Operatsiyalar!$C:$C,A40,Operatsiyalar!$E:$E,"chiqim"))</f>
        <v/>
      </c>
      <c r="J37" s="8">
        <f>IF(A40="","",D40+H40-F40)</f>
        <v/>
      </c>
      <c r="K37" s="8">
        <f>IF(A40="","",E40+I40-G40)</f>
        <v/>
      </c>
    </row>
    <row r="38">
      <c r="A38" s="5" t="n"/>
      <c r="B38" s="5" t="n"/>
      <c r="C38" s="6" t="n"/>
      <c r="D38" s="8" t="n"/>
      <c r="E38" s="8" t="n"/>
      <c r="F38" s="8">
        <f>IF(A41="","",SUMIFS(Operatsiyalar!$I:$I,Operatsiyalar!$C:$C,A41,Operatsiyalar!$E:$E,"kirim"))</f>
        <v/>
      </c>
      <c r="G38" s="8">
        <f>IF(A41="","",SUMIFS(Operatsiyalar!$J:$J,Operatsiyalar!$C:$C,A41,Operatsiyalar!$E:$E,"kirim"))</f>
        <v/>
      </c>
      <c r="H38" s="8">
        <f>IF(A41="","",SUMIFS(Operatsiyalar!$I:$I,Operatsiyalar!$C:$C,A41,Operatsiyalar!$E:$E,"chiqim"))</f>
        <v/>
      </c>
      <c r="I38" s="8">
        <f>IF(A41="","",SUMIFS(Operatsiyalar!$J:$J,Operatsiyalar!$C:$C,A41,Operatsiyalar!$E:$E,"chiqim"))</f>
        <v/>
      </c>
      <c r="J38" s="8">
        <f>IF(A41="","",D41+H41-F41)</f>
        <v/>
      </c>
      <c r="K38" s="8">
        <f>IF(A41="","",E41+I41-G41)</f>
        <v/>
      </c>
    </row>
    <row r="39">
      <c r="A39" s="5" t="n"/>
      <c r="B39" s="5" t="n"/>
      <c r="C39" s="6" t="n"/>
      <c r="D39" s="8" t="n"/>
      <c r="E39" s="8" t="n"/>
      <c r="F39" s="8">
        <f>IF(A42="","",SUMIFS(Operatsiyalar!$I:$I,Operatsiyalar!$C:$C,A42,Operatsiyalar!$E:$E,"kirim"))</f>
        <v/>
      </c>
      <c r="G39" s="8">
        <f>IF(A42="","",SUMIFS(Operatsiyalar!$J:$J,Operatsiyalar!$C:$C,A42,Operatsiyalar!$E:$E,"kirim"))</f>
        <v/>
      </c>
      <c r="H39" s="8">
        <f>IF(A42="","",SUMIFS(Operatsiyalar!$I:$I,Operatsiyalar!$C:$C,A42,Operatsiyalar!$E:$E,"chiqim"))</f>
        <v/>
      </c>
      <c r="I39" s="8">
        <f>IF(A42="","",SUMIFS(Operatsiyalar!$J:$J,Operatsiyalar!$C:$C,A42,Operatsiyalar!$E:$E,"chiqim"))</f>
        <v/>
      </c>
      <c r="J39" s="8">
        <f>IF(A42="","",D42+H42-F42)</f>
        <v/>
      </c>
      <c r="K39" s="8">
        <f>IF(A42="","",E42+I42-G42)</f>
        <v/>
      </c>
    </row>
    <row r="40">
      <c r="A40" s="5" t="n"/>
      <c r="B40" s="5" t="n"/>
      <c r="C40" s="6" t="n"/>
      <c r="D40" s="8" t="n"/>
      <c r="E40" s="8" t="n"/>
      <c r="F40" s="8">
        <f>IF(A43="","",SUMIFS(Operatsiyalar!$I:$I,Operatsiyalar!$C:$C,A43,Operatsiyalar!$E:$E,"kirim"))</f>
        <v/>
      </c>
      <c r="G40" s="8">
        <f>IF(A43="","",SUMIFS(Operatsiyalar!$J:$J,Operatsiyalar!$C:$C,A43,Operatsiyalar!$E:$E,"kirim"))</f>
        <v/>
      </c>
      <c r="H40" s="8">
        <f>IF(A43="","",SUMIFS(Operatsiyalar!$I:$I,Operatsiyalar!$C:$C,A43,Operatsiyalar!$E:$E,"chiqim"))</f>
        <v/>
      </c>
      <c r="I40" s="8">
        <f>IF(A43="","",SUMIFS(Operatsiyalar!$J:$J,Operatsiyalar!$C:$C,A43,Operatsiyalar!$E:$E,"chiqim"))</f>
        <v/>
      </c>
      <c r="J40" s="8">
        <f>IF(A43="","",D43+H43-F43)</f>
        <v/>
      </c>
      <c r="K40" s="8">
        <f>IF(A43="","",E43+I43-G43)</f>
        <v/>
      </c>
    </row>
    <row r="41">
      <c r="A41" s="5" t="n"/>
      <c r="B41" s="5" t="n"/>
      <c r="C41" s="6" t="n"/>
      <c r="D41" s="8" t="n"/>
      <c r="E41" s="8" t="n"/>
      <c r="F41" s="8">
        <f>IF(A44="","",SUMIFS(Operatsiyalar!$I:$I,Operatsiyalar!$C:$C,A44,Operatsiyalar!$E:$E,"kirim"))</f>
        <v/>
      </c>
      <c r="G41" s="8">
        <f>IF(A44="","",SUMIFS(Operatsiyalar!$J:$J,Operatsiyalar!$C:$C,A44,Operatsiyalar!$E:$E,"kirim"))</f>
        <v/>
      </c>
      <c r="H41" s="8">
        <f>IF(A44="","",SUMIFS(Operatsiyalar!$I:$I,Operatsiyalar!$C:$C,A44,Operatsiyalar!$E:$E,"chiqim"))</f>
        <v/>
      </c>
      <c r="I41" s="8">
        <f>IF(A44="","",SUMIFS(Operatsiyalar!$J:$J,Operatsiyalar!$C:$C,A44,Operatsiyalar!$E:$E,"chiqim"))</f>
        <v/>
      </c>
      <c r="J41" s="8">
        <f>IF(A44="","",D44+H44-F44)</f>
        <v/>
      </c>
      <c r="K41" s="8">
        <f>IF(A44="","",E44+I44-G44)</f>
        <v/>
      </c>
    </row>
    <row r="42">
      <c r="A42" s="5" t="n"/>
      <c r="B42" s="5" t="n"/>
      <c r="C42" s="6" t="n"/>
      <c r="D42" s="8" t="n"/>
      <c r="E42" s="8" t="n"/>
      <c r="F42" s="8">
        <f>IF(A45="","",SUMIFS(Operatsiyalar!$I:$I,Operatsiyalar!$C:$C,A45,Operatsiyalar!$E:$E,"kirim"))</f>
        <v/>
      </c>
      <c r="G42" s="8">
        <f>IF(A45="","",SUMIFS(Operatsiyalar!$J:$J,Operatsiyalar!$C:$C,A45,Operatsiyalar!$E:$E,"kirim"))</f>
        <v/>
      </c>
      <c r="H42" s="8">
        <f>IF(A45="","",SUMIFS(Operatsiyalar!$I:$I,Operatsiyalar!$C:$C,A45,Operatsiyalar!$E:$E,"chiqim"))</f>
        <v/>
      </c>
      <c r="I42" s="8">
        <f>IF(A45="","",SUMIFS(Operatsiyalar!$J:$J,Operatsiyalar!$C:$C,A45,Operatsiyalar!$E:$E,"chiqim"))</f>
        <v/>
      </c>
      <c r="J42" s="8">
        <f>IF(A45="","",D45+H45-F45)</f>
        <v/>
      </c>
      <c r="K42" s="8">
        <f>IF(A45="","",E45+I45-G45)</f>
        <v/>
      </c>
    </row>
    <row r="43">
      <c r="A43" s="5" t="n"/>
      <c r="B43" s="5" t="n"/>
      <c r="C43" s="6" t="n"/>
      <c r="D43" s="8" t="n"/>
      <c r="E43" s="8" t="n"/>
      <c r="F43" s="8">
        <f>IF(A46="","",SUMIFS(Operatsiyalar!$I:$I,Operatsiyalar!$C:$C,A46,Operatsiyalar!$E:$E,"kirim"))</f>
        <v/>
      </c>
      <c r="G43" s="8">
        <f>IF(A46="","",SUMIFS(Operatsiyalar!$J:$J,Operatsiyalar!$C:$C,A46,Operatsiyalar!$E:$E,"kirim"))</f>
        <v/>
      </c>
      <c r="H43" s="8">
        <f>IF(A46="","",SUMIFS(Operatsiyalar!$I:$I,Operatsiyalar!$C:$C,A46,Operatsiyalar!$E:$E,"chiqim"))</f>
        <v/>
      </c>
      <c r="I43" s="8">
        <f>IF(A46="","",SUMIFS(Operatsiyalar!$J:$J,Operatsiyalar!$C:$C,A46,Operatsiyalar!$E:$E,"chiqim"))</f>
        <v/>
      </c>
      <c r="J43" s="8">
        <f>IF(A46="","",D46+H46-F46)</f>
        <v/>
      </c>
      <c r="K43" s="8">
        <f>IF(A46="","",E46+I46-G46)</f>
        <v/>
      </c>
    </row>
    <row r="44">
      <c r="A44" s="5" t="n"/>
      <c r="B44" s="5" t="n"/>
      <c r="C44" s="6" t="n"/>
      <c r="D44" s="8" t="n"/>
      <c r="E44" s="8" t="n"/>
      <c r="F44" s="8">
        <f>IF(A47="","",SUMIFS(Operatsiyalar!$I:$I,Operatsiyalar!$C:$C,A47,Operatsiyalar!$E:$E,"kirim"))</f>
        <v/>
      </c>
      <c r="G44" s="8">
        <f>IF(A47="","",SUMIFS(Operatsiyalar!$J:$J,Operatsiyalar!$C:$C,A47,Operatsiyalar!$E:$E,"kirim"))</f>
        <v/>
      </c>
      <c r="H44" s="8">
        <f>IF(A47="","",SUMIFS(Operatsiyalar!$I:$I,Operatsiyalar!$C:$C,A47,Operatsiyalar!$E:$E,"chiqim"))</f>
        <v/>
      </c>
      <c r="I44" s="8">
        <f>IF(A47="","",SUMIFS(Operatsiyalar!$J:$J,Operatsiyalar!$C:$C,A47,Operatsiyalar!$E:$E,"chiqim"))</f>
        <v/>
      </c>
      <c r="J44" s="8">
        <f>IF(A47="","",D47+H47-F47)</f>
        <v/>
      </c>
      <c r="K44" s="8">
        <f>IF(A47="","",E47+I47-G47)</f>
        <v/>
      </c>
    </row>
    <row r="45">
      <c r="A45" s="5" t="n"/>
      <c r="B45" s="5" t="n"/>
      <c r="C45" s="6" t="n"/>
      <c r="D45" s="8" t="n"/>
      <c r="E45" s="8" t="n"/>
      <c r="F45" s="8">
        <f>IF(A48="","",SUMIFS(Operatsiyalar!$I:$I,Operatsiyalar!$C:$C,A48,Operatsiyalar!$E:$E,"kirim"))</f>
        <v/>
      </c>
      <c r="G45" s="8">
        <f>IF(A48="","",SUMIFS(Operatsiyalar!$J:$J,Operatsiyalar!$C:$C,A48,Operatsiyalar!$E:$E,"kirim"))</f>
        <v/>
      </c>
      <c r="H45" s="8">
        <f>IF(A48="","",SUMIFS(Operatsiyalar!$I:$I,Operatsiyalar!$C:$C,A48,Operatsiyalar!$E:$E,"chiqim"))</f>
        <v/>
      </c>
      <c r="I45" s="8">
        <f>IF(A48="","",SUMIFS(Operatsiyalar!$J:$J,Operatsiyalar!$C:$C,A48,Operatsiyalar!$E:$E,"chiqim"))</f>
        <v/>
      </c>
      <c r="J45" s="8">
        <f>IF(A48="","",D48+H48-F48)</f>
        <v/>
      </c>
      <c r="K45" s="8">
        <f>IF(A48="","",E48+I48-G48)</f>
        <v/>
      </c>
    </row>
    <row r="46">
      <c r="A46" s="5" t="n"/>
      <c r="B46" s="5" t="n"/>
      <c r="C46" s="6" t="n"/>
      <c r="D46" s="8" t="n"/>
      <c r="E46" s="8" t="n"/>
      <c r="F46" s="8">
        <f>IF(A49="","",SUMIFS(Operatsiyalar!$I:$I,Operatsiyalar!$C:$C,A49,Operatsiyalar!$E:$E,"kirim"))</f>
        <v/>
      </c>
      <c r="G46" s="8">
        <f>IF(A49="","",SUMIFS(Operatsiyalar!$J:$J,Operatsiyalar!$C:$C,A49,Operatsiyalar!$E:$E,"kirim"))</f>
        <v/>
      </c>
      <c r="H46" s="8">
        <f>IF(A49="","",SUMIFS(Operatsiyalar!$I:$I,Operatsiyalar!$C:$C,A49,Operatsiyalar!$E:$E,"chiqim"))</f>
        <v/>
      </c>
      <c r="I46" s="8">
        <f>IF(A49="","",SUMIFS(Operatsiyalar!$J:$J,Operatsiyalar!$C:$C,A49,Operatsiyalar!$E:$E,"chiqim"))</f>
        <v/>
      </c>
      <c r="J46" s="8">
        <f>IF(A49="","",D49+H49-F49)</f>
        <v/>
      </c>
      <c r="K46" s="8">
        <f>IF(A49="","",E49+I49-G49)</f>
        <v/>
      </c>
    </row>
    <row r="47">
      <c r="A47" s="5" t="n"/>
      <c r="B47" s="5" t="n"/>
      <c r="C47" s="6" t="n"/>
      <c r="D47" s="8" t="n"/>
      <c r="E47" s="8" t="n"/>
      <c r="F47" s="8">
        <f>IF(A50="","",SUMIFS(Operatsiyalar!$I:$I,Operatsiyalar!$C:$C,A50,Operatsiyalar!$E:$E,"kirim"))</f>
        <v/>
      </c>
      <c r="G47" s="8">
        <f>IF(A50="","",SUMIFS(Operatsiyalar!$J:$J,Operatsiyalar!$C:$C,A50,Operatsiyalar!$E:$E,"kirim"))</f>
        <v/>
      </c>
      <c r="H47" s="8">
        <f>IF(A50="","",SUMIFS(Operatsiyalar!$I:$I,Operatsiyalar!$C:$C,A50,Operatsiyalar!$E:$E,"chiqim"))</f>
        <v/>
      </c>
      <c r="I47" s="8">
        <f>IF(A50="","",SUMIFS(Operatsiyalar!$J:$J,Operatsiyalar!$C:$C,A50,Operatsiyalar!$E:$E,"chiqim"))</f>
        <v/>
      </c>
      <c r="J47" s="8">
        <f>IF(A50="","",D50+H50-F50)</f>
        <v/>
      </c>
      <c r="K47" s="8">
        <f>IF(A50="","",E50+I50-G50)</f>
        <v/>
      </c>
    </row>
    <row r="48">
      <c r="A48" s="5" t="n"/>
      <c r="B48" s="5" t="n"/>
      <c r="C48" s="6" t="n"/>
      <c r="D48" s="8" t="n"/>
      <c r="E48" s="8" t="n"/>
      <c r="F48" s="8">
        <f>IF(A51="","",SUMIFS(Operatsiyalar!$I:$I,Operatsiyalar!$C:$C,A51,Operatsiyalar!$E:$E,"kirim"))</f>
        <v/>
      </c>
      <c r="G48" s="8">
        <f>IF(A51="","",SUMIFS(Operatsiyalar!$J:$J,Operatsiyalar!$C:$C,A51,Operatsiyalar!$E:$E,"kirim"))</f>
        <v/>
      </c>
      <c r="H48" s="8">
        <f>IF(A51="","",SUMIFS(Operatsiyalar!$I:$I,Operatsiyalar!$C:$C,A51,Operatsiyalar!$E:$E,"chiqim"))</f>
        <v/>
      </c>
      <c r="I48" s="8">
        <f>IF(A51="","",SUMIFS(Operatsiyalar!$J:$J,Operatsiyalar!$C:$C,A51,Operatsiyalar!$E:$E,"chiqim"))</f>
        <v/>
      </c>
      <c r="J48" s="8">
        <f>IF(A51="","",D51+H51-F51)</f>
        <v/>
      </c>
      <c r="K48" s="8">
        <f>IF(A51="","",E51+I51-G51)</f>
        <v/>
      </c>
    </row>
    <row r="49">
      <c r="A49" s="5" t="n"/>
      <c r="B49" s="5" t="n"/>
      <c r="C49" s="6" t="n"/>
      <c r="D49" s="8" t="n"/>
      <c r="E49" s="8" t="n"/>
      <c r="F49" s="8">
        <f>IF(A52="","",SUMIFS(Operatsiyalar!$I:$I,Operatsiyalar!$C:$C,A52,Operatsiyalar!$E:$E,"kirim"))</f>
        <v/>
      </c>
      <c r="G49" s="8">
        <f>IF(A52="","",SUMIFS(Operatsiyalar!$J:$J,Operatsiyalar!$C:$C,A52,Operatsiyalar!$E:$E,"kirim"))</f>
        <v/>
      </c>
      <c r="H49" s="8">
        <f>IF(A52="","",SUMIFS(Operatsiyalar!$I:$I,Operatsiyalar!$C:$C,A52,Operatsiyalar!$E:$E,"chiqim"))</f>
        <v/>
      </c>
      <c r="I49" s="8">
        <f>IF(A52="","",SUMIFS(Operatsiyalar!$J:$J,Operatsiyalar!$C:$C,A52,Operatsiyalar!$E:$E,"chiqim"))</f>
        <v/>
      </c>
      <c r="J49" s="8">
        <f>IF(A52="","",D52+H52-F52)</f>
        <v/>
      </c>
      <c r="K49" s="8">
        <f>IF(A52="","",E52+I52-G52)</f>
        <v/>
      </c>
    </row>
    <row r="50">
      <c r="A50" s="5" t="n"/>
      <c r="B50" s="5" t="n"/>
      <c r="C50" s="6" t="n"/>
      <c r="D50" s="8" t="n"/>
      <c r="E50" s="8" t="n"/>
      <c r="F50" s="8">
        <f>IF(A53="","",SUMIFS(Operatsiyalar!$I:$I,Operatsiyalar!$C:$C,A53,Operatsiyalar!$E:$E,"kirim"))</f>
        <v/>
      </c>
      <c r="G50" s="8">
        <f>IF(A53="","",SUMIFS(Operatsiyalar!$J:$J,Operatsiyalar!$C:$C,A53,Operatsiyalar!$E:$E,"kirim"))</f>
        <v/>
      </c>
      <c r="H50" s="8">
        <f>IF(A53="","",SUMIFS(Operatsiyalar!$I:$I,Operatsiyalar!$C:$C,A53,Operatsiyalar!$E:$E,"chiqim"))</f>
        <v/>
      </c>
      <c r="I50" s="8">
        <f>IF(A53="","",SUMIFS(Operatsiyalar!$J:$J,Operatsiyalar!$C:$C,A53,Operatsiyalar!$E:$E,"chiqim"))</f>
        <v/>
      </c>
      <c r="J50" s="8">
        <f>IF(A53="","",D53+H53-F53)</f>
        <v/>
      </c>
      <c r="K50" s="8">
        <f>IF(A53="","",E53+I53-G53)</f>
        <v/>
      </c>
    </row>
    <row r="51">
      <c r="A51" s="5" t="n"/>
      <c r="B51" s="5" t="n"/>
      <c r="C51" s="6" t="n"/>
      <c r="D51" s="8" t="n"/>
      <c r="E51" s="8" t="n"/>
      <c r="F51" s="8">
        <f>IF(A54="","",SUMIFS(Operatsiyalar!$I:$I,Operatsiyalar!$C:$C,A54,Operatsiyalar!$E:$E,"kirim"))</f>
        <v/>
      </c>
      <c r="G51" s="8">
        <f>IF(A54="","",SUMIFS(Operatsiyalar!$J:$J,Operatsiyalar!$C:$C,A54,Operatsiyalar!$E:$E,"kirim"))</f>
        <v/>
      </c>
      <c r="H51" s="8">
        <f>IF(A54="","",SUMIFS(Operatsiyalar!$I:$I,Operatsiyalar!$C:$C,A54,Operatsiyalar!$E:$E,"chiqim"))</f>
        <v/>
      </c>
      <c r="I51" s="8">
        <f>IF(A54="","",SUMIFS(Operatsiyalar!$J:$J,Operatsiyalar!$C:$C,A54,Operatsiyalar!$E:$E,"chiqim"))</f>
        <v/>
      </c>
      <c r="J51" s="8">
        <f>IF(A54="","",D54+H54-F54)</f>
        <v/>
      </c>
      <c r="K51" s="8">
        <f>IF(A54="","",E54+I54-G54)</f>
        <v/>
      </c>
    </row>
    <row r="52">
      <c r="A52" s="5" t="n"/>
      <c r="B52" s="5" t="n"/>
      <c r="C52" s="6" t="n"/>
      <c r="D52" s="8" t="n"/>
      <c r="E52" s="8" t="n"/>
      <c r="F52" s="8">
        <f>IF(A55="","",SUMIFS(Operatsiyalar!$I:$I,Operatsiyalar!$C:$C,A55,Operatsiyalar!$E:$E,"kirim"))</f>
        <v/>
      </c>
      <c r="G52" s="8">
        <f>IF(A55="","",SUMIFS(Operatsiyalar!$J:$J,Operatsiyalar!$C:$C,A55,Operatsiyalar!$E:$E,"kirim"))</f>
        <v/>
      </c>
      <c r="H52" s="8">
        <f>IF(A55="","",SUMIFS(Operatsiyalar!$I:$I,Operatsiyalar!$C:$C,A55,Operatsiyalar!$E:$E,"chiqim"))</f>
        <v/>
      </c>
      <c r="I52" s="8">
        <f>IF(A55="","",SUMIFS(Operatsiyalar!$J:$J,Operatsiyalar!$C:$C,A55,Operatsiyalar!$E:$E,"chiqim"))</f>
        <v/>
      </c>
      <c r="J52" s="8">
        <f>IF(A55="","",D55+H55-F55)</f>
        <v/>
      </c>
      <c r="K52" s="8">
        <f>IF(A55="","",E55+I55-G55)</f>
        <v/>
      </c>
    </row>
    <row r="53">
      <c r="A53" s="5" t="n"/>
      <c r="B53" s="5" t="n"/>
      <c r="C53" s="6" t="n"/>
      <c r="D53" s="8" t="n"/>
      <c r="E53" s="8" t="n"/>
      <c r="F53" s="8">
        <f>IF(A56="","",SUMIFS(Operatsiyalar!$I:$I,Operatsiyalar!$C:$C,A56,Operatsiyalar!$E:$E,"kirim"))</f>
        <v/>
      </c>
      <c r="G53" s="8">
        <f>IF(A56="","",SUMIFS(Operatsiyalar!$J:$J,Operatsiyalar!$C:$C,A56,Operatsiyalar!$E:$E,"kirim"))</f>
        <v/>
      </c>
      <c r="H53" s="8">
        <f>IF(A56="","",SUMIFS(Operatsiyalar!$I:$I,Operatsiyalar!$C:$C,A56,Operatsiyalar!$E:$E,"chiqim"))</f>
        <v/>
      </c>
      <c r="I53" s="8">
        <f>IF(A56="","",SUMIFS(Operatsiyalar!$J:$J,Operatsiyalar!$C:$C,A56,Operatsiyalar!$E:$E,"chiqim"))</f>
        <v/>
      </c>
      <c r="J53" s="8">
        <f>IF(A56="","",D56+H56-F56)</f>
        <v/>
      </c>
      <c r="K53" s="8">
        <f>IF(A56="","",E56+I56-G56)</f>
        <v/>
      </c>
    </row>
    <row r="54">
      <c r="A54" s="5" t="n"/>
      <c r="B54" s="5" t="n"/>
      <c r="C54" s="6" t="n"/>
      <c r="D54" s="8" t="n"/>
      <c r="E54" s="8" t="n"/>
      <c r="F54" s="8">
        <f>IF(A57="","",SUMIFS(Operatsiyalar!$I:$I,Operatsiyalar!$C:$C,A57,Operatsiyalar!$E:$E,"kirim"))</f>
        <v/>
      </c>
      <c r="G54" s="8">
        <f>IF(A57="","",SUMIFS(Operatsiyalar!$J:$J,Operatsiyalar!$C:$C,A57,Operatsiyalar!$E:$E,"kirim"))</f>
        <v/>
      </c>
      <c r="H54" s="8">
        <f>IF(A57="","",SUMIFS(Operatsiyalar!$I:$I,Operatsiyalar!$C:$C,A57,Operatsiyalar!$E:$E,"chiqim"))</f>
        <v/>
      </c>
      <c r="I54" s="8">
        <f>IF(A57="","",SUMIFS(Operatsiyalar!$J:$J,Operatsiyalar!$C:$C,A57,Operatsiyalar!$E:$E,"chiqim"))</f>
        <v/>
      </c>
      <c r="J54" s="8">
        <f>IF(A57="","",D57+H57-F57)</f>
        <v/>
      </c>
      <c r="K54" s="8">
        <f>IF(A57="","",E57+I57-G57)</f>
        <v/>
      </c>
    </row>
    <row r="55">
      <c r="A55" s="5" t="n"/>
      <c r="B55" s="5" t="n"/>
      <c r="C55" s="6" t="n"/>
      <c r="D55" s="8" t="n"/>
      <c r="E55" s="8" t="n"/>
      <c r="F55" s="8">
        <f>IF(A58="","",SUMIFS(Operatsiyalar!$I:$I,Operatsiyalar!$C:$C,A58,Operatsiyalar!$E:$E,"kirim"))</f>
        <v/>
      </c>
      <c r="G55" s="8">
        <f>IF(A58="","",SUMIFS(Operatsiyalar!$J:$J,Operatsiyalar!$C:$C,A58,Operatsiyalar!$E:$E,"kirim"))</f>
        <v/>
      </c>
      <c r="H55" s="8">
        <f>IF(A58="","",SUMIFS(Operatsiyalar!$I:$I,Operatsiyalar!$C:$C,A58,Operatsiyalar!$E:$E,"chiqim"))</f>
        <v/>
      </c>
      <c r="I55" s="8">
        <f>IF(A58="","",SUMIFS(Operatsiyalar!$J:$J,Operatsiyalar!$C:$C,A58,Operatsiyalar!$E:$E,"chiqim"))</f>
        <v/>
      </c>
      <c r="J55" s="8">
        <f>IF(A58="","",D58+H58-F58)</f>
        <v/>
      </c>
      <c r="K55" s="8">
        <f>IF(A58="","",E58+I58-G58)</f>
        <v/>
      </c>
    </row>
    <row r="56">
      <c r="A56" s="5" t="n"/>
      <c r="B56" s="5" t="n"/>
      <c r="C56" s="6" t="n"/>
      <c r="D56" s="8" t="n"/>
      <c r="E56" s="8" t="n"/>
      <c r="F56" s="8">
        <f>IF(A59="","",SUMIFS(Operatsiyalar!$I:$I,Operatsiyalar!$C:$C,A59,Operatsiyalar!$E:$E,"kirim"))</f>
        <v/>
      </c>
      <c r="G56" s="8">
        <f>IF(A59="","",SUMIFS(Operatsiyalar!$J:$J,Operatsiyalar!$C:$C,A59,Operatsiyalar!$E:$E,"kirim"))</f>
        <v/>
      </c>
      <c r="H56" s="8">
        <f>IF(A59="","",SUMIFS(Operatsiyalar!$I:$I,Operatsiyalar!$C:$C,A59,Operatsiyalar!$E:$E,"chiqim"))</f>
        <v/>
      </c>
      <c r="I56" s="8">
        <f>IF(A59="","",SUMIFS(Operatsiyalar!$J:$J,Operatsiyalar!$C:$C,A59,Operatsiyalar!$E:$E,"chiqim"))</f>
        <v/>
      </c>
      <c r="J56" s="8">
        <f>IF(A59="","",D59+H59-F59)</f>
        <v/>
      </c>
      <c r="K56" s="8">
        <f>IF(A59="","",E59+I59-G59)</f>
        <v/>
      </c>
    </row>
    <row r="57">
      <c r="A57" s="5" t="n"/>
      <c r="B57" s="5" t="n"/>
      <c r="C57" s="6" t="n"/>
      <c r="D57" s="8" t="n"/>
      <c r="E57" s="8" t="n"/>
      <c r="F57" s="8">
        <f>IF(A60="","",SUMIFS(Operatsiyalar!$I:$I,Operatsiyalar!$C:$C,A60,Operatsiyalar!$E:$E,"kirim"))</f>
        <v/>
      </c>
      <c r="G57" s="8">
        <f>IF(A60="","",SUMIFS(Operatsiyalar!$J:$J,Operatsiyalar!$C:$C,A60,Operatsiyalar!$E:$E,"kirim"))</f>
        <v/>
      </c>
      <c r="H57" s="8">
        <f>IF(A60="","",SUMIFS(Operatsiyalar!$I:$I,Operatsiyalar!$C:$C,A60,Operatsiyalar!$E:$E,"chiqim"))</f>
        <v/>
      </c>
      <c r="I57" s="8">
        <f>IF(A60="","",SUMIFS(Operatsiyalar!$J:$J,Operatsiyalar!$C:$C,A60,Operatsiyalar!$E:$E,"chiqim"))</f>
        <v/>
      </c>
      <c r="J57" s="8">
        <f>IF(A60="","",D60+H60-F60)</f>
        <v/>
      </c>
      <c r="K57" s="8">
        <f>IF(A60="","",E60+I60-G60)</f>
        <v/>
      </c>
    </row>
    <row r="58">
      <c r="A58" s="5" t="n"/>
      <c r="B58" s="5" t="n"/>
      <c r="C58" s="6" t="n"/>
      <c r="D58" s="8" t="n"/>
      <c r="E58" s="8" t="n"/>
      <c r="F58" s="8">
        <f>IF(A61="","",SUMIFS(Operatsiyalar!$I:$I,Operatsiyalar!$C:$C,A61,Operatsiyalar!$E:$E,"kirim"))</f>
        <v/>
      </c>
      <c r="G58" s="8">
        <f>IF(A61="","",SUMIFS(Operatsiyalar!$J:$J,Operatsiyalar!$C:$C,A61,Operatsiyalar!$E:$E,"kirim"))</f>
        <v/>
      </c>
      <c r="H58" s="8">
        <f>IF(A61="","",SUMIFS(Operatsiyalar!$I:$I,Operatsiyalar!$C:$C,A61,Operatsiyalar!$E:$E,"chiqim"))</f>
        <v/>
      </c>
      <c r="I58" s="8">
        <f>IF(A61="","",SUMIFS(Operatsiyalar!$J:$J,Operatsiyalar!$C:$C,A61,Operatsiyalar!$E:$E,"chiqim"))</f>
        <v/>
      </c>
      <c r="J58" s="8">
        <f>IF(A61="","",D61+H61-F61)</f>
        <v/>
      </c>
      <c r="K58" s="8">
        <f>IF(A61="","",E61+I61-G61)</f>
        <v/>
      </c>
    </row>
    <row r="59">
      <c r="A59" s="5" t="n"/>
      <c r="B59" s="5" t="n"/>
      <c r="C59" s="6" t="n"/>
      <c r="D59" s="8" t="n"/>
      <c r="E59" s="8" t="n"/>
      <c r="F59" s="8">
        <f>IF(A62="","",SUMIFS(Operatsiyalar!$I:$I,Operatsiyalar!$C:$C,A62,Operatsiyalar!$E:$E,"kirim"))</f>
        <v/>
      </c>
      <c r="G59" s="8">
        <f>IF(A62="","",SUMIFS(Operatsiyalar!$J:$J,Operatsiyalar!$C:$C,A62,Operatsiyalar!$E:$E,"kirim"))</f>
        <v/>
      </c>
      <c r="H59" s="8">
        <f>IF(A62="","",SUMIFS(Operatsiyalar!$I:$I,Operatsiyalar!$C:$C,A62,Operatsiyalar!$E:$E,"chiqim"))</f>
        <v/>
      </c>
      <c r="I59" s="8">
        <f>IF(A62="","",SUMIFS(Operatsiyalar!$J:$J,Operatsiyalar!$C:$C,A62,Operatsiyalar!$E:$E,"chiqim"))</f>
        <v/>
      </c>
      <c r="J59" s="8">
        <f>IF(A62="","",D62+H62-F62)</f>
        <v/>
      </c>
      <c r="K59" s="8">
        <f>IF(A62="","",E62+I62-G62)</f>
        <v/>
      </c>
    </row>
    <row r="60">
      <c r="A60" s="5" t="n"/>
      <c r="B60" s="5" t="n"/>
      <c r="C60" s="6" t="n"/>
      <c r="D60" s="8" t="n"/>
      <c r="E60" s="8" t="n"/>
      <c r="F60" s="8">
        <f>IF(A63="","",SUMIFS(Operatsiyalar!$I:$I,Operatsiyalar!$C:$C,A63,Operatsiyalar!$E:$E,"kirim"))</f>
        <v/>
      </c>
      <c r="G60" s="8">
        <f>IF(A63="","",SUMIFS(Operatsiyalar!$J:$J,Operatsiyalar!$C:$C,A63,Operatsiyalar!$E:$E,"kirim"))</f>
        <v/>
      </c>
      <c r="H60" s="8">
        <f>IF(A63="","",SUMIFS(Operatsiyalar!$I:$I,Operatsiyalar!$C:$C,A63,Operatsiyalar!$E:$E,"chiqim"))</f>
        <v/>
      </c>
      <c r="I60" s="8">
        <f>IF(A63="","",SUMIFS(Operatsiyalar!$J:$J,Operatsiyalar!$C:$C,A63,Operatsiyalar!$E:$E,"chiqim"))</f>
        <v/>
      </c>
      <c r="J60" s="8">
        <f>IF(A63="","",D63+H63-F63)</f>
        <v/>
      </c>
      <c r="K60" s="8">
        <f>IF(A63="","",E63+I63-G63)</f>
        <v/>
      </c>
    </row>
    <row r="61">
      <c r="A61" s="5" t="n"/>
      <c r="B61" s="5" t="n"/>
      <c r="C61" s="6" t="n"/>
      <c r="D61" s="8" t="n"/>
      <c r="E61" s="8" t="n"/>
      <c r="F61" s="8">
        <f>IF(A64="","",SUMIFS(Operatsiyalar!$I:$I,Operatsiyalar!$C:$C,A64,Operatsiyalar!$E:$E,"kirim"))</f>
        <v/>
      </c>
      <c r="G61" s="8">
        <f>IF(A64="","",SUMIFS(Operatsiyalar!$J:$J,Operatsiyalar!$C:$C,A64,Operatsiyalar!$E:$E,"kirim"))</f>
        <v/>
      </c>
      <c r="H61" s="8">
        <f>IF(A64="","",SUMIFS(Operatsiyalar!$I:$I,Operatsiyalar!$C:$C,A64,Operatsiyalar!$E:$E,"chiqim"))</f>
        <v/>
      </c>
      <c r="I61" s="8">
        <f>IF(A64="","",SUMIFS(Operatsiyalar!$J:$J,Operatsiyalar!$C:$C,A64,Operatsiyalar!$E:$E,"chiqim"))</f>
        <v/>
      </c>
      <c r="J61" s="8">
        <f>IF(A64="","",D64+H64-F64)</f>
        <v/>
      </c>
      <c r="K61" s="8">
        <f>IF(A64="","",E64+I64-G64)</f>
        <v/>
      </c>
    </row>
    <row r="62">
      <c r="A62" s="5" t="n"/>
      <c r="B62" s="5" t="n"/>
      <c r="C62" s="6" t="n"/>
      <c r="D62" s="8" t="n"/>
      <c r="E62" s="8" t="n"/>
      <c r="F62" s="8">
        <f>IF(A65="","",SUMIFS(Operatsiyalar!$I:$I,Operatsiyalar!$C:$C,A65,Operatsiyalar!$E:$E,"kirim"))</f>
        <v/>
      </c>
      <c r="G62" s="8">
        <f>IF(A65="","",SUMIFS(Operatsiyalar!$J:$J,Operatsiyalar!$C:$C,A65,Operatsiyalar!$E:$E,"kirim"))</f>
        <v/>
      </c>
      <c r="H62" s="8">
        <f>IF(A65="","",SUMIFS(Operatsiyalar!$I:$I,Operatsiyalar!$C:$C,A65,Operatsiyalar!$E:$E,"chiqim"))</f>
        <v/>
      </c>
      <c r="I62" s="8">
        <f>IF(A65="","",SUMIFS(Operatsiyalar!$J:$J,Operatsiyalar!$C:$C,A65,Operatsiyalar!$E:$E,"chiqim"))</f>
        <v/>
      </c>
      <c r="J62" s="8">
        <f>IF(A65="","",D65+H65-F65)</f>
        <v/>
      </c>
      <c r="K62" s="8">
        <f>IF(A65="","",E65+I65-G65)</f>
        <v/>
      </c>
    </row>
    <row r="63">
      <c r="A63" s="5" t="n"/>
      <c r="B63" s="5" t="n"/>
      <c r="C63" s="6" t="n"/>
      <c r="D63" s="8" t="n"/>
      <c r="E63" s="8" t="n"/>
      <c r="F63" s="8">
        <f>IF(A66="","",SUMIFS(Operatsiyalar!$I:$I,Operatsiyalar!$C:$C,A66,Operatsiyalar!$E:$E,"kirim"))</f>
        <v/>
      </c>
      <c r="G63" s="8">
        <f>IF(A66="","",SUMIFS(Operatsiyalar!$J:$J,Operatsiyalar!$C:$C,A66,Operatsiyalar!$E:$E,"kirim"))</f>
        <v/>
      </c>
      <c r="H63" s="8">
        <f>IF(A66="","",SUMIFS(Operatsiyalar!$I:$I,Operatsiyalar!$C:$C,A66,Operatsiyalar!$E:$E,"chiqim"))</f>
        <v/>
      </c>
      <c r="I63" s="8">
        <f>IF(A66="","",SUMIFS(Operatsiyalar!$J:$J,Operatsiyalar!$C:$C,A66,Operatsiyalar!$E:$E,"chiqim"))</f>
        <v/>
      </c>
      <c r="J63" s="8">
        <f>IF(A66="","",D66+H66-F66)</f>
        <v/>
      </c>
      <c r="K63" s="8">
        <f>IF(A66="","",E66+I66-G66)</f>
        <v/>
      </c>
    </row>
    <row r="64">
      <c r="A64" s="5" t="n"/>
      <c r="B64" s="5" t="n"/>
      <c r="C64" s="6" t="n"/>
      <c r="D64" s="8" t="n"/>
      <c r="E64" s="8" t="n"/>
      <c r="F64" s="8">
        <f>IF(A67="","",SUMIFS(Operatsiyalar!$I:$I,Operatsiyalar!$C:$C,A67,Operatsiyalar!$E:$E,"kirim"))</f>
        <v/>
      </c>
      <c r="G64" s="8">
        <f>IF(A67="","",SUMIFS(Operatsiyalar!$J:$J,Operatsiyalar!$C:$C,A67,Operatsiyalar!$E:$E,"kirim"))</f>
        <v/>
      </c>
      <c r="H64" s="8">
        <f>IF(A67="","",SUMIFS(Operatsiyalar!$I:$I,Operatsiyalar!$C:$C,A67,Operatsiyalar!$E:$E,"chiqim"))</f>
        <v/>
      </c>
      <c r="I64" s="8">
        <f>IF(A67="","",SUMIFS(Operatsiyalar!$J:$J,Operatsiyalar!$C:$C,A67,Operatsiyalar!$E:$E,"chiqim"))</f>
        <v/>
      </c>
      <c r="J64" s="8">
        <f>IF(A67="","",D67+H67-F67)</f>
        <v/>
      </c>
      <c r="K64" s="8">
        <f>IF(A67="","",E67+I67-G67)</f>
        <v/>
      </c>
    </row>
    <row r="65">
      <c r="A65" s="5" t="n"/>
      <c r="B65" s="5" t="n"/>
      <c r="C65" s="6" t="n"/>
      <c r="D65" s="8" t="n"/>
      <c r="E65" s="8" t="n"/>
      <c r="F65" s="8">
        <f>IF(A68="","",SUMIFS(Operatsiyalar!$I:$I,Operatsiyalar!$C:$C,A68,Operatsiyalar!$E:$E,"kirim"))</f>
        <v/>
      </c>
      <c r="G65" s="8">
        <f>IF(A68="","",SUMIFS(Operatsiyalar!$J:$J,Operatsiyalar!$C:$C,A68,Operatsiyalar!$E:$E,"kirim"))</f>
        <v/>
      </c>
      <c r="H65" s="8">
        <f>IF(A68="","",SUMIFS(Operatsiyalar!$I:$I,Operatsiyalar!$C:$C,A68,Operatsiyalar!$E:$E,"chiqim"))</f>
        <v/>
      </c>
      <c r="I65" s="8">
        <f>IF(A68="","",SUMIFS(Operatsiyalar!$J:$J,Operatsiyalar!$C:$C,A68,Operatsiyalar!$E:$E,"chiqim"))</f>
        <v/>
      </c>
      <c r="J65" s="8">
        <f>IF(A68="","",D68+H68-F68)</f>
        <v/>
      </c>
      <c r="K65" s="8">
        <f>IF(A68="","",E68+I68-G68)</f>
        <v/>
      </c>
    </row>
    <row r="66">
      <c r="A66" s="5" t="n"/>
      <c r="B66" s="5" t="n"/>
      <c r="C66" s="6" t="n"/>
      <c r="D66" s="8" t="n"/>
      <c r="E66" s="8" t="n"/>
      <c r="F66" s="8">
        <f>IF(A69="","",SUMIFS(Operatsiyalar!$I:$I,Operatsiyalar!$C:$C,A69,Operatsiyalar!$E:$E,"kirim"))</f>
        <v/>
      </c>
      <c r="G66" s="8">
        <f>IF(A69="","",SUMIFS(Operatsiyalar!$J:$J,Operatsiyalar!$C:$C,A69,Operatsiyalar!$E:$E,"kirim"))</f>
        <v/>
      </c>
      <c r="H66" s="8">
        <f>IF(A69="","",SUMIFS(Operatsiyalar!$I:$I,Operatsiyalar!$C:$C,A69,Operatsiyalar!$E:$E,"chiqim"))</f>
        <v/>
      </c>
      <c r="I66" s="8">
        <f>IF(A69="","",SUMIFS(Operatsiyalar!$J:$J,Operatsiyalar!$C:$C,A69,Operatsiyalar!$E:$E,"chiqim"))</f>
        <v/>
      </c>
      <c r="J66" s="8">
        <f>IF(A69="","",D69+H69-F69)</f>
        <v/>
      </c>
      <c r="K66" s="8">
        <f>IF(A69="","",E69+I69-G69)</f>
        <v/>
      </c>
    </row>
    <row r="67">
      <c r="A67" s="5" t="n"/>
      <c r="B67" s="5" t="n"/>
      <c r="C67" s="6" t="n"/>
      <c r="D67" s="8" t="n"/>
      <c r="E67" s="8" t="n"/>
      <c r="F67" s="8">
        <f>IF(A70="","",SUMIFS(Operatsiyalar!$I:$I,Operatsiyalar!$C:$C,A70,Operatsiyalar!$E:$E,"kirim"))</f>
        <v/>
      </c>
      <c r="G67" s="8">
        <f>IF(A70="","",SUMIFS(Operatsiyalar!$J:$J,Operatsiyalar!$C:$C,A70,Operatsiyalar!$E:$E,"kirim"))</f>
        <v/>
      </c>
      <c r="H67" s="8">
        <f>IF(A70="","",SUMIFS(Operatsiyalar!$I:$I,Operatsiyalar!$C:$C,A70,Operatsiyalar!$E:$E,"chiqim"))</f>
        <v/>
      </c>
      <c r="I67" s="8">
        <f>IF(A70="","",SUMIFS(Operatsiyalar!$J:$J,Operatsiyalar!$C:$C,A70,Operatsiyalar!$E:$E,"chiqim"))</f>
        <v/>
      </c>
      <c r="J67" s="8">
        <f>IF(A70="","",D70+H70-F70)</f>
        <v/>
      </c>
      <c r="K67" s="8">
        <f>IF(A70="","",E70+I70-G70)</f>
        <v/>
      </c>
    </row>
    <row r="68">
      <c r="A68" s="5" t="n"/>
      <c r="B68" s="5" t="n"/>
      <c r="C68" s="6" t="n"/>
      <c r="D68" s="8" t="n"/>
      <c r="E68" s="8" t="n"/>
      <c r="F68" s="8">
        <f>IF(A71="","",SUMIFS(Operatsiyalar!$I:$I,Operatsiyalar!$C:$C,A71,Operatsiyalar!$E:$E,"kirim"))</f>
        <v/>
      </c>
      <c r="G68" s="8">
        <f>IF(A71="","",SUMIFS(Operatsiyalar!$J:$J,Operatsiyalar!$C:$C,A71,Operatsiyalar!$E:$E,"kirim"))</f>
        <v/>
      </c>
      <c r="H68" s="8">
        <f>IF(A71="","",SUMIFS(Operatsiyalar!$I:$I,Operatsiyalar!$C:$C,A71,Operatsiyalar!$E:$E,"chiqim"))</f>
        <v/>
      </c>
      <c r="I68" s="8">
        <f>IF(A71="","",SUMIFS(Operatsiyalar!$J:$J,Operatsiyalar!$C:$C,A71,Operatsiyalar!$E:$E,"chiqim"))</f>
        <v/>
      </c>
      <c r="J68" s="8">
        <f>IF(A71="","",D71+H71-F71)</f>
        <v/>
      </c>
      <c r="K68" s="8">
        <f>IF(A71="","",E71+I71-G71)</f>
        <v/>
      </c>
    </row>
    <row r="69">
      <c r="A69" s="5" t="n"/>
      <c r="B69" s="5" t="n"/>
      <c r="C69" s="6" t="n"/>
      <c r="D69" s="8" t="n"/>
      <c r="E69" s="8" t="n"/>
      <c r="F69" s="8">
        <f>IF(A72="","",SUMIFS(Operatsiyalar!$I:$I,Operatsiyalar!$C:$C,A72,Operatsiyalar!$E:$E,"kirim"))</f>
        <v/>
      </c>
      <c r="G69" s="8">
        <f>IF(A72="","",SUMIFS(Operatsiyalar!$J:$J,Operatsiyalar!$C:$C,A72,Operatsiyalar!$E:$E,"kirim"))</f>
        <v/>
      </c>
      <c r="H69" s="8">
        <f>IF(A72="","",SUMIFS(Operatsiyalar!$I:$I,Operatsiyalar!$C:$C,A72,Operatsiyalar!$E:$E,"chiqim"))</f>
        <v/>
      </c>
      <c r="I69" s="8">
        <f>IF(A72="","",SUMIFS(Operatsiyalar!$J:$J,Operatsiyalar!$C:$C,A72,Operatsiyalar!$E:$E,"chiqim"))</f>
        <v/>
      </c>
      <c r="J69" s="8">
        <f>IF(A72="","",D72+H72-F72)</f>
        <v/>
      </c>
      <c r="K69" s="8">
        <f>IF(A72="","",E72+I72-G72)</f>
        <v/>
      </c>
    </row>
    <row r="70">
      <c r="A70" s="5" t="n"/>
      <c r="B70" s="5" t="n"/>
      <c r="C70" s="6" t="n"/>
      <c r="D70" s="8" t="n"/>
      <c r="E70" s="8" t="n"/>
      <c r="F70" s="8">
        <f>IF(A73="","",SUMIFS(Operatsiyalar!$I:$I,Operatsiyalar!$C:$C,A73,Operatsiyalar!$E:$E,"kirim"))</f>
        <v/>
      </c>
      <c r="G70" s="8">
        <f>IF(A73="","",SUMIFS(Operatsiyalar!$J:$J,Operatsiyalar!$C:$C,A73,Operatsiyalar!$E:$E,"kirim"))</f>
        <v/>
      </c>
      <c r="H70" s="8">
        <f>IF(A73="","",SUMIFS(Operatsiyalar!$I:$I,Operatsiyalar!$C:$C,A73,Operatsiyalar!$E:$E,"chiqim"))</f>
        <v/>
      </c>
      <c r="I70" s="8">
        <f>IF(A73="","",SUMIFS(Operatsiyalar!$J:$J,Operatsiyalar!$C:$C,A73,Operatsiyalar!$E:$E,"chiqim"))</f>
        <v/>
      </c>
      <c r="J70" s="8">
        <f>IF(A73="","",D73+H73-F73)</f>
        <v/>
      </c>
      <c r="K70" s="8">
        <f>IF(A73="","",E73+I73-G73)</f>
        <v/>
      </c>
    </row>
    <row r="71">
      <c r="A71" s="5" t="n"/>
      <c r="B71" s="5" t="n"/>
      <c r="C71" s="6" t="n"/>
      <c r="D71" s="8" t="n"/>
      <c r="E71" s="8" t="n"/>
      <c r="F71" s="8">
        <f>IF(A74="","",SUMIFS(Operatsiyalar!$I:$I,Operatsiyalar!$C:$C,A74,Operatsiyalar!$E:$E,"kirim"))</f>
        <v/>
      </c>
      <c r="G71" s="8">
        <f>IF(A74="","",SUMIFS(Operatsiyalar!$J:$J,Operatsiyalar!$C:$C,A74,Operatsiyalar!$E:$E,"kirim"))</f>
        <v/>
      </c>
      <c r="H71" s="8">
        <f>IF(A74="","",SUMIFS(Operatsiyalar!$I:$I,Operatsiyalar!$C:$C,A74,Operatsiyalar!$E:$E,"chiqim"))</f>
        <v/>
      </c>
      <c r="I71" s="8">
        <f>IF(A74="","",SUMIFS(Operatsiyalar!$J:$J,Operatsiyalar!$C:$C,A74,Operatsiyalar!$E:$E,"chiqim"))</f>
        <v/>
      </c>
      <c r="J71" s="8">
        <f>IF(A74="","",D74+H74-F74)</f>
        <v/>
      </c>
      <c r="K71" s="8">
        <f>IF(A74="","",E74+I74-G74)</f>
        <v/>
      </c>
    </row>
    <row r="72">
      <c r="A72" s="5" t="n"/>
      <c r="B72" s="5" t="n"/>
      <c r="C72" s="6" t="n"/>
      <c r="D72" s="8" t="n"/>
      <c r="E72" s="8" t="n"/>
      <c r="F72" s="8">
        <f>IF(A75="","",SUMIFS(Operatsiyalar!$I:$I,Operatsiyalar!$C:$C,A75,Operatsiyalar!$E:$E,"kirim"))</f>
        <v/>
      </c>
      <c r="G72" s="8">
        <f>IF(A75="","",SUMIFS(Operatsiyalar!$J:$J,Operatsiyalar!$C:$C,A75,Operatsiyalar!$E:$E,"kirim"))</f>
        <v/>
      </c>
      <c r="H72" s="8">
        <f>IF(A75="","",SUMIFS(Operatsiyalar!$I:$I,Operatsiyalar!$C:$C,A75,Operatsiyalar!$E:$E,"chiqim"))</f>
        <v/>
      </c>
      <c r="I72" s="8">
        <f>IF(A75="","",SUMIFS(Operatsiyalar!$J:$J,Operatsiyalar!$C:$C,A75,Operatsiyalar!$E:$E,"chiqim"))</f>
        <v/>
      </c>
      <c r="J72" s="8">
        <f>IF(A75="","",D75+H75-F75)</f>
        <v/>
      </c>
      <c r="K72" s="8">
        <f>IF(A75="","",E75+I75-G75)</f>
        <v/>
      </c>
    </row>
    <row r="73">
      <c r="A73" s="5" t="n"/>
      <c r="B73" s="5" t="n"/>
      <c r="C73" s="6" t="n"/>
      <c r="D73" s="8" t="n"/>
      <c r="E73" s="8" t="n"/>
      <c r="F73" s="8">
        <f>IF(A76="","",SUMIFS(Operatsiyalar!$I:$I,Operatsiyalar!$C:$C,A76,Operatsiyalar!$E:$E,"kirim"))</f>
        <v/>
      </c>
      <c r="G73" s="8">
        <f>IF(A76="","",SUMIFS(Operatsiyalar!$J:$J,Operatsiyalar!$C:$C,A76,Operatsiyalar!$E:$E,"kirim"))</f>
        <v/>
      </c>
      <c r="H73" s="8">
        <f>IF(A76="","",SUMIFS(Operatsiyalar!$I:$I,Operatsiyalar!$C:$C,A76,Operatsiyalar!$E:$E,"chiqim"))</f>
        <v/>
      </c>
      <c r="I73" s="8">
        <f>IF(A76="","",SUMIFS(Operatsiyalar!$J:$J,Operatsiyalar!$C:$C,A76,Operatsiyalar!$E:$E,"chiqim"))</f>
        <v/>
      </c>
      <c r="J73" s="8">
        <f>IF(A76="","",D76+H76-F76)</f>
        <v/>
      </c>
      <c r="K73" s="8">
        <f>IF(A76="","",E76+I76-G76)</f>
        <v/>
      </c>
    </row>
    <row r="74">
      <c r="A74" s="5" t="n"/>
      <c r="B74" s="5" t="n"/>
      <c r="C74" s="6" t="n"/>
      <c r="D74" s="8" t="n"/>
      <c r="E74" s="8" t="n"/>
      <c r="F74" s="8">
        <f>IF(A77="","",SUMIFS(Operatsiyalar!$I:$I,Operatsiyalar!$C:$C,A77,Operatsiyalar!$E:$E,"kirim"))</f>
        <v/>
      </c>
      <c r="G74" s="8">
        <f>IF(A77="","",SUMIFS(Operatsiyalar!$J:$J,Operatsiyalar!$C:$C,A77,Operatsiyalar!$E:$E,"kirim"))</f>
        <v/>
      </c>
      <c r="H74" s="8">
        <f>IF(A77="","",SUMIFS(Operatsiyalar!$I:$I,Operatsiyalar!$C:$C,A77,Operatsiyalar!$E:$E,"chiqim"))</f>
        <v/>
      </c>
      <c r="I74" s="8">
        <f>IF(A77="","",SUMIFS(Operatsiyalar!$J:$J,Operatsiyalar!$C:$C,A77,Operatsiyalar!$E:$E,"chiqim"))</f>
        <v/>
      </c>
      <c r="J74" s="8">
        <f>IF(A77="","",D77+H77-F77)</f>
        <v/>
      </c>
      <c r="K74" s="8">
        <f>IF(A77="","",E77+I77-G77)</f>
        <v/>
      </c>
    </row>
    <row r="75">
      <c r="A75" s="5" t="n"/>
      <c r="B75" s="5" t="n"/>
      <c r="C75" s="6" t="n"/>
      <c r="D75" s="8" t="n"/>
      <c r="E75" s="8" t="n"/>
      <c r="F75" s="8">
        <f>IF(A78="","",SUMIFS(Operatsiyalar!$I:$I,Operatsiyalar!$C:$C,A78,Operatsiyalar!$E:$E,"kirim"))</f>
        <v/>
      </c>
      <c r="G75" s="8">
        <f>IF(A78="","",SUMIFS(Operatsiyalar!$J:$J,Operatsiyalar!$C:$C,A78,Operatsiyalar!$E:$E,"kirim"))</f>
        <v/>
      </c>
      <c r="H75" s="8">
        <f>IF(A78="","",SUMIFS(Operatsiyalar!$I:$I,Operatsiyalar!$C:$C,A78,Operatsiyalar!$E:$E,"chiqim"))</f>
        <v/>
      </c>
      <c r="I75" s="8">
        <f>IF(A78="","",SUMIFS(Operatsiyalar!$J:$J,Operatsiyalar!$C:$C,A78,Operatsiyalar!$E:$E,"chiqim"))</f>
        <v/>
      </c>
      <c r="J75" s="8">
        <f>IF(A78="","",D78+H78-F78)</f>
        <v/>
      </c>
      <c r="K75" s="8">
        <f>IF(A78="","",E78+I78-G78)</f>
        <v/>
      </c>
    </row>
    <row r="76">
      <c r="A76" s="5" t="n"/>
      <c r="B76" s="5" t="n"/>
      <c r="C76" s="6" t="n"/>
      <c r="D76" s="8" t="n"/>
      <c r="E76" s="8" t="n"/>
      <c r="F76" s="8">
        <f>IF(A79="","",SUMIFS(Operatsiyalar!$I:$I,Operatsiyalar!$C:$C,A79,Operatsiyalar!$E:$E,"kirim"))</f>
        <v/>
      </c>
      <c r="G76" s="8">
        <f>IF(A79="","",SUMIFS(Operatsiyalar!$J:$J,Operatsiyalar!$C:$C,A79,Operatsiyalar!$E:$E,"kirim"))</f>
        <v/>
      </c>
      <c r="H76" s="8">
        <f>IF(A79="","",SUMIFS(Operatsiyalar!$I:$I,Operatsiyalar!$C:$C,A79,Operatsiyalar!$E:$E,"chiqim"))</f>
        <v/>
      </c>
      <c r="I76" s="8">
        <f>IF(A79="","",SUMIFS(Operatsiyalar!$J:$J,Operatsiyalar!$C:$C,A79,Operatsiyalar!$E:$E,"chiqim"))</f>
        <v/>
      </c>
      <c r="J76" s="8">
        <f>IF(A79="","",D79+H79-F79)</f>
        <v/>
      </c>
      <c r="K76" s="8">
        <f>IF(A79="","",E79+I79-G79)</f>
        <v/>
      </c>
    </row>
    <row r="77">
      <c r="A77" s="5" t="n"/>
      <c r="B77" s="5" t="n"/>
      <c r="C77" s="6" t="n"/>
      <c r="D77" s="8" t="n"/>
      <c r="E77" s="8" t="n"/>
      <c r="F77" s="8">
        <f>IF(A80="","",SUMIFS(Operatsiyalar!$I:$I,Operatsiyalar!$C:$C,A80,Operatsiyalar!$E:$E,"kirim"))</f>
        <v/>
      </c>
      <c r="G77" s="8">
        <f>IF(A80="","",SUMIFS(Operatsiyalar!$J:$J,Operatsiyalar!$C:$C,A80,Operatsiyalar!$E:$E,"kirim"))</f>
        <v/>
      </c>
      <c r="H77" s="8">
        <f>IF(A80="","",SUMIFS(Operatsiyalar!$I:$I,Operatsiyalar!$C:$C,A80,Operatsiyalar!$E:$E,"chiqim"))</f>
        <v/>
      </c>
      <c r="I77" s="8">
        <f>IF(A80="","",SUMIFS(Operatsiyalar!$J:$J,Operatsiyalar!$C:$C,A80,Operatsiyalar!$E:$E,"chiqim"))</f>
        <v/>
      </c>
      <c r="J77" s="8">
        <f>IF(A80="","",D80+H80-F80)</f>
        <v/>
      </c>
      <c r="K77" s="8">
        <f>IF(A80="","",E80+I80-G80)</f>
        <v/>
      </c>
    </row>
    <row r="78">
      <c r="A78" s="5" t="n"/>
      <c r="B78" s="5" t="n"/>
      <c r="C78" s="6" t="n"/>
      <c r="D78" s="8" t="n"/>
      <c r="E78" s="8" t="n"/>
      <c r="F78" s="8">
        <f>IF(A81="","",SUMIFS(Operatsiyalar!$I:$I,Operatsiyalar!$C:$C,A81,Operatsiyalar!$E:$E,"kirim"))</f>
        <v/>
      </c>
      <c r="G78" s="8">
        <f>IF(A81="","",SUMIFS(Operatsiyalar!$J:$J,Operatsiyalar!$C:$C,A81,Operatsiyalar!$E:$E,"kirim"))</f>
        <v/>
      </c>
      <c r="H78" s="8">
        <f>IF(A81="","",SUMIFS(Operatsiyalar!$I:$I,Operatsiyalar!$C:$C,A81,Operatsiyalar!$E:$E,"chiqim"))</f>
        <v/>
      </c>
      <c r="I78" s="8">
        <f>IF(A81="","",SUMIFS(Operatsiyalar!$J:$J,Operatsiyalar!$C:$C,A81,Operatsiyalar!$E:$E,"chiqim"))</f>
        <v/>
      </c>
      <c r="J78" s="8">
        <f>IF(A81="","",D81+H81-F81)</f>
        <v/>
      </c>
      <c r="K78" s="8">
        <f>IF(A81="","",E81+I81-G81)</f>
        <v/>
      </c>
    </row>
    <row r="79">
      <c r="A79" s="5" t="n"/>
      <c r="B79" s="5" t="n"/>
      <c r="C79" s="6" t="n"/>
      <c r="D79" s="8" t="n"/>
      <c r="E79" s="8" t="n"/>
      <c r="F79" s="8">
        <f>IF(A82="","",SUMIFS(Operatsiyalar!$I:$I,Operatsiyalar!$C:$C,A82,Operatsiyalar!$E:$E,"kirim"))</f>
        <v/>
      </c>
      <c r="G79" s="8">
        <f>IF(A82="","",SUMIFS(Operatsiyalar!$J:$J,Operatsiyalar!$C:$C,A82,Operatsiyalar!$E:$E,"kirim"))</f>
        <v/>
      </c>
      <c r="H79" s="8">
        <f>IF(A82="","",SUMIFS(Operatsiyalar!$I:$I,Operatsiyalar!$C:$C,A82,Operatsiyalar!$E:$E,"chiqim"))</f>
        <v/>
      </c>
      <c r="I79" s="8">
        <f>IF(A82="","",SUMIFS(Operatsiyalar!$J:$J,Operatsiyalar!$C:$C,A82,Operatsiyalar!$E:$E,"chiqim"))</f>
        <v/>
      </c>
      <c r="J79" s="8">
        <f>IF(A82="","",D82+H82-F82)</f>
        <v/>
      </c>
      <c r="K79" s="8">
        <f>IF(A82="","",E82+I82-G82)</f>
        <v/>
      </c>
    </row>
    <row r="80">
      <c r="A80" s="5" t="n"/>
      <c r="B80" s="5" t="n"/>
      <c r="C80" s="6" t="n"/>
      <c r="D80" s="8" t="n"/>
      <c r="E80" s="8" t="n"/>
      <c r="F80" s="8">
        <f>IF(A83="","",SUMIFS(Operatsiyalar!$I:$I,Operatsiyalar!$C:$C,A83,Operatsiyalar!$E:$E,"kirim"))</f>
        <v/>
      </c>
      <c r="G80" s="8">
        <f>IF(A83="","",SUMIFS(Operatsiyalar!$J:$J,Operatsiyalar!$C:$C,A83,Operatsiyalar!$E:$E,"kirim"))</f>
        <v/>
      </c>
      <c r="H80" s="8">
        <f>IF(A83="","",SUMIFS(Operatsiyalar!$I:$I,Operatsiyalar!$C:$C,A83,Operatsiyalar!$E:$E,"chiqim"))</f>
        <v/>
      </c>
      <c r="I80" s="8">
        <f>IF(A83="","",SUMIFS(Operatsiyalar!$J:$J,Operatsiyalar!$C:$C,A83,Operatsiyalar!$E:$E,"chiqim"))</f>
        <v/>
      </c>
      <c r="J80" s="8">
        <f>IF(A83="","",D83+H83-F83)</f>
        <v/>
      </c>
      <c r="K80" s="8">
        <f>IF(A83="","",E83+I83-G83)</f>
        <v/>
      </c>
    </row>
    <row r="81">
      <c r="A81" s="5" t="n"/>
      <c r="B81" s="5" t="n"/>
      <c r="C81" s="6" t="n"/>
      <c r="D81" s="8" t="n"/>
      <c r="E81" s="8" t="n"/>
      <c r="F81" s="8">
        <f>IF(A84="","",SUMIFS(Operatsiyalar!$I:$I,Operatsiyalar!$C:$C,A84,Operatsiyalar!$E:$E,"kirim"))</f>
        <v/>
      </c>
      <c r="G81" s="8">
        <f>IF(A84="","",SUMIFS(Operatsiyalar!$J:$J,Operatsiyalar!$C:$C,A84,Operatsiyalar!$E:$E,"kirim"))</f>
        <v/>
      </c>
      <c r="H81" s="8">
        <f>IF(A84="","",SUMIFS(Operatsiyalar!$I:$I,Operatsiyalar!$C:$C,A84,Operatsiyalar!$E:$E,"chiqim"))</f>
        <v/>
      </c>
      <c r="I81" s="8">
        <f>IF(A84="","",SUMIFS(Operatsiyalar!$J:$J,Operatsiyalar!$C:$C,A84,Operatsiyalar!$E:$E,"chiqim"))</f>
        <v/>
      </c>
      <c r="J81" s="8">
        <f>IF(A84="","",D84+H84-F84)</f>
        <v/>
      </c>
      <c r="K81" s="8">
        <f>IF(A84="","",E84+I84-G84)</f>
        <v/>
      </c>
    </row>
    <row r="82">
      <c r="A82" s="5" t="n"/>
      <c r="B82" s="5" t="n"/>
      <c r="C82" s="6" t="n"/>
      <c r="D82" s="8" t="n"/>
      <c r="E82" s="8" t="n"/>
      <c r="F82" s="8">
        <f>IF(A85="","",SUMIFS(Operatsiyalar!$I:$I,Operatsiyalar!$C:$C,A85,Operatsiyalar!$E:$E,"kirim"))</f>
        <v/>
      </c>
      <c r="G82" s="8">
        <f>IF(A85="","",SUMIFS(Operatsiyalar!$J:$J,Operatsiyalar!$C:$C,A85,Operatsiyalar!$E:$E,"kirim"))</f>
        <v/>
      </c>
      <c r="H82" s="8">
        <f>IF(A85="","",SUMIFS(Operatsiyalar!$I:$I,Operatsiyalar!$C:$C,A85,Operatsiyalar!$E:$E,"chiqim"))</f>
        <v/>
      </c>
      <c r="I82" s="8">
        <f>IF(A85="","",SUMIFS(Operatsiyalar!$J:$J,Operatsiyalar!$C:$C,A85,Operatsiyalar!$E:$E,"chiqim"))</f>
        <v/>
      </c>
      <c r="J82" s="8">
        <f>IF(A85="","",D85+H85-F85)</f>
        <v/>
      </c>
      <c r="K82" s="8">
        <f>IF(A85="","",E85+I85-G85)</f>
        <v/>
      </c>
    </row>
    <row r="83">
      <c r="A83" s="5" t="n"/>
      <c r="B83" s="5" t="n"/>
      <c r="C83" s="6" t="n"/>
      <c r="D83" s="8" t="n"/>
      <c r="E83" s="8" t="n"/>
      <c r="F83" s="8">
        <f>IF(A86="","",SUMIFS(Operatsiyalar!$I:$I,Operatsiyalar!$C:$C,A86,Operatsiyalar!$E:$E,"kirim"))</f>
        <v/>
      </c>
      <c r="G83" s="8">
        <f>IF(A86="","",SUMIFS(Operatsiyalar!$J:$J,Operatsiyalar!$C:$C,A86,Operatsiyalar!$E:$E,"kirim"))</f>
        <v/>
      </c>
      <c r="H83" s="8">
        <f>IF(A86="","",SUMIFS(Operatsiyalar!$I:$I,Operatsiyalar!$C:$C,A86,Operatsiyalar!$E:$E,"chiqim"))</f>
        <v/>
      </c>
      <c r="I83" s="8">
        <f>IF(A86="","",SUMIFS(Operatsiyalar!$J:$J,Operatsiyalar!$C:$C,A86,Operatsiyalar!$E:$E,"chiqim"))</f>
        <v/>
      </c>
      <c r="J83" s="8">
        <f>IF(A86="","",D86+H86-F86)</f>
        <v/>
      </c>
      <c r="K83" s="8">
        <f>IF(A86="","",E86+I86-G86)</f>
        <v/>
      </c>
    </row>
    <row r="84">
      <c r="A84" s="5" t="n"/>
      <c r="B84" s="5" t="n"/>
      <c r="C84" s="6" t="n"/>
      <c r="D84" s="8" t="n"/>
      <c r="E84" s="8" t="n"/>
      <c r="F84" s="8">
        <f>IF(A87="","",SUMIFS(Operatsiyalar!$I:$I,Operatsiyalar!$C:$C,A87,Operatsiyalar!$E:$E,"kirim"))</f>
        <v/>
      </c>
      <c r="G84" s="8">
        <f>IF(A87="","",SUMIFS(Operatsiyalar!$J:$J,Operatsiyalar!$C:$C,A87,Operatsiyalar!$E:$E,"kirim"))</f>
        <v/>
      </c>
      <c r="H84" s="8">
        <f>IF(A87="","",SUMIFS(Operatsiyalar!$I:$I,Operatsiyalar!$C:$C,A87,Operatsiyalar!$E:$E,"chiqim"))</f>
        <v/>
      </c>
      <c r="I84" s="8">
        <f>IF(A87="","",SUMIFS(Operatsiyalar!$J:$J,Operatsiyalar!$C:$C,A87,Operatsiyalar!$E:$E,"chiqim"))</f>
        <v/>
      </c>
      <c r="J84" s="8">
        <f>IF(A87="","",D87+H87-F87)</f>
        <v/>
      </c>
      <c r="K84" s="8">
        <f>IF(A87="","",E87+I87-G87)</f>
        <v/>
      </c>
    </row>
    <row r="85">
      <c r="A85" s="5" t="n"/>
      <c r="B85" s="5" t="n"/>
      <c r="C85" s="6" t="n"/>
      <c r="D85" s="8" t="n"/>
      <c r="E85" s="8" t="n"/>
      <c r="F85" s="8">
        <f>IF(A88="","",SUMIFS(Operatsiyalar!$I:$I,Operatsiyalar!$C:$C,A88,Operatsiyalar!$E:$E,"kirim"))</f>
        <v/>
      </c>
      <c r="G85" s="8">
        <f>IF(A88="","",SUMIFS(Operatsiyalar!$J:$J,Operatsiyalar!$C:$C,A88,Operatsiyalar!$E:$E,"kirim"))</f>
        <v/>
      </c>
      <c r="H85" s="8">
        <f>IF(A88="","",SUMIFS(Operatsiyalar!$I:$I,Operatsiyalar!$C:$C,A88,Operatsiyalar!$E:$E,"chiqim"))</f>
        <v/>
      </c>
      <c r="I85" s="8">
        <f>IF(A88="","",SUMIFS(Operatsiyalar!$J:$J,Operatsiyalar!$C:$C,A88,Operatsiyalar!$E:$E,"chiqim"))</f>
        <v/>
      </c>
      <c r="J85" s="8">
        <f>IF(A88="","",D88+H88-F88)</f>
        <v/>
      </c>
      <c r="K85" s="8">
        <f>IF(A88="","",E88+I88-G88)</f>
        <v/>
      </c>
    </row>
    <row r="86">
      <c r="A86" s="5" t="n"/>
      <c r="B86" s="5" t="n"/>
      <c r="C86" s="6" t="n"/>
      <c r="D86" s="8" t="n"/>
      <c r="E86" s="8" t="n"/>
      <c r="F86" s="8">
        <f>IF(A89="","",SUMIFS(Operatsiyalar!$I:$I,Operatsiyalar!$C:$C,A89,Operatsiyalar!$E:$E,"kirim"))</f>
        <v/>
      </c>
      <c r="G86" s="8">
        <f>IF(A89="","",SUMIFS(Operatsiyalar!$J:$J,Operatsiyalar!$C:$C,A89,Operatsiyalar!$E:$E,"kirim"))</f>
        <v/>
      </c>
      <c r="H86" s="8">
        <f>IF(A89="","",SUMIFS(Operatsiyalar!$I:$I,Operatsiyalar!$C:$C,A89,Operatsiyalar!$E:$E,"chiqim"))</f>
        <v/>
      </c>
      <c r="I86" s="8">
        <f>IF(A89="","",SUMIFS(Operatsiyalar!$J:$J,Operatsiyalar!$C:$C,A89,Operatsiyalar!$E:$E,"chiqim"))</f>
        <v/>
      </c>
      <c r="J86" s="8">
        <f>IF(A89="","",D89+H89-F89)</f>
        <v/>
      </c>
      <c r="K86" s="8">
        <f>IF(A89="","",E89+I89-G89)</f>
        <v/>
      </c>
    </row>
    <row r="87">
      <c r="A87" s="5" t="n"/>
      <c r="B87" s="5" t="n"/>
      <c r="C87" s="6" t="n"/>
      <c r="D87" s="8" t="n"/>
      <c r="E87" s="8" t="n"/>
      <c r="F87" s="8">
        <f>IF(A90="","",SUMIFS(Operatsiyalar!$I:$I,Operatsiyalar!$C:$C,A90,Operatsiyalar!$E:$E,"kirim"))</f>
        <v/>
      </c>
      <c r="G87" s="8">
        <f>IF(A90="","",SUMIFS(Operatsiyalar!$J:$J,Operatsiyalar!$C:$C,A90,Operatsiyalar!$E:$E,"kirim"))</f>
        <v/>
      </c>
      <c r="H87" s="8">
        <f>IF(A90="","",SUMIFS(Operatsiyalar!$I:$I,Operatsiyalar!$C:$C,A90,Operatsiyalar!$E:$E,"chiqim"))</f>
        <v/>
      </c>
      <c r="I87" s="8">
        <f>IF(A90="","",SUMIFS(Operatsiyalar!$J:$J,Operatsiyalar!$C:$C,A90,Operatsiyalar!$E:$E,"chiqim"))</f>
        <v/>
      </c>
      <c r="J87" s="8">
        <f>IF(A90="","",D90+H90-F90)</f>
        <v/>
      </c>
      <c r="K87" s="8">
        <f>IF(A90="","",E90+I90-G90)</f>
        <v/>
      </c>
    </row>
    <row r="88">
      <c r="A88" s="5" t="n"/>
      <c r="B88" s="5" t="n"/>
      <c r="C88" s="6" t="n"/>
      <c r="D88" s="8" t="n"/>
      <c r="E88" s="8" t="n"/>
      <c r="F88" s="8">
        <f>IF(A91="","",SUMIFS(Operatsiyalar!$I:$I,Operatsiyalar!$C:$C,A91,Operatsiyalar!$E:$E,"kirim"))</f>
        <v/>
      </c>
      <c r="G88" s="8">
        <f>IF(A91="","",SUMIFS(Operatsiyalar!$J:$J,Operatsiyalar!$C:$C,A91,Operatsiyalar!$E:$E,"kirim"))</f>
        <v/>
      </c>
      <c r="H88" s="8">
        <f>IF(A91="","",SUMIFS(Operatsiyalar!$I:$I,Operatsiyalar!$C:$C,A91,Operatsiyalar!$E:$E,"chiqim"))</f>
        <v/>
      </c>
      <c r="I88" s="8">
        <f>IF(A91="","",SUMIFS(Operatsiyalar!$J:$J,Operatsiyalar!$C:$C,A91,Operatsiyalar!$E:$E,"chiqim"))</f>
        <v/>
      </c>
      <c r="J88" s="8">
        <f>IF(A91="","",D91+H91-F91)</f>
        <v/>
      </c>
      <c r="K88" s="8">
        <f>IF(A91="","",E91+I91-G91)</f>
        <v/>
      </c>
    </row>
    <row r="89">
      <c r="A89" s="5" t="n"/>
      <c r="B89" s="5" t="n"/>
      <c r="C89" s="6" t="n"/>
      <c r="D89" s="8" t="n"/>
      <c r="E89" s="8" t="n"/>
      <c r="F89" s="8">
        <f>IF(A92="","",SUMIFS(Operatsiyalar!$I:$I,Operatsiyalar!$C:$C,A92,Operatsiyalar!$E:$E,"kirim"))</f>
        <v/>
      </c>
      <c r="G89" s="8">
        <f>IF(A92="","",SUMIFS(Operatsiyalar!$J:$J,Operatsiyalar!$C:$C,A92,Operatsiyalar!$E:$E,"kirim"))</f>
        <v/>
      </c>
      <c r="H89" s="8">
        <f>IF(A92="","",SUMIFS(Operatsiyalar!$I:$I,Operatsiyalar!$C:$C,A92,Operatsiyalar!$E:$E,"chiqim"))</f>
        <v/>
      </c>
      <c r="I89" s="8">
        <f>IF(A92="","",SUMIFS(Operatsiyalar!$J:$J,Operatsiyalar!$C:$C,A92,Operatsiyalar!$E:$E,"chiqim"))</f>
        <v/>
      </c>
      <c r="J89" s="8">
        <f>IF(A92="","",D92+H92-F92)</f>
        <v/>
      </c>
      <c r="K89" s="8">
        <f>IF(A92="","",E92+I92-G92)</f>
        <v/>
      </c>
    </row>
    <row r="90">
      <c r="A90" s="5" t="n"/>
      <c r="B90" s="5" t="n"/>
      <c r="C90" s="6" t="n"/>
      <c r="D90" s="8" t="n"/>
      <c r="E90" s="8" t="n"/>
      <c r="F90" s="8">
        <f>IF(A93="","",SUMIFS(Operatsiyalar!$I:$I,Operatsiyalar!$C:$C,A93,Operatsiyalar!$E:$E,"kirim"))</f>
        <v/>
      </c>
      <c r="G90" s="8">
        <f>IF(A93="","",SUMIFS(Operatsiyalar!$J:$J,Operatsiyalar!$C:$C,A93,Operatsiyalar!$E:$E,"kirim"))</f>
        <v/>
      </c>
      <c r="H90" s="8">
        <f>IF(A93="","",SUMIFS(Operatsiyalar!$I:$I,Operatsiyalar!$C:$C,A93,Operatsiyalar!$E:$E,"chiqim"))</f>
        <v/>
      </c>
      <c r="I90" s="8">
        <f>IF(A93="","",SUMIFS(Operatsiyalar!$J:$J,Operatsiyalar!$C:$C,A93,Operatsiyalar!$E:$E,"chiqim"))</f>
        <v/>
      </c>
      <c r="J90" s="8">
        <f>IF(A93="","",D93+H93-F93)</f>
        <v/>
      </c>
      <c r="K90" s="8">
        <f>IF(A93="","",E93+I93-G93)</f>
        <v/>
      </c>
    </row>
    <row r="91">
      <c r="A91" s="5" t="n"/>
      <c r="B91" s="5" t="n"/>
      <c r="C91" s="6" t="n"/>
      <c r="D91" s="8" t="n"/>
      <c r="E91" s="8" t="n"/>
      <c r="F91" s="8">
        <f>IF(A94="","",SUMIFS(Operatsiyalar!$I:$I,Operatsiyalar!$C:$C,A94,Operatsiyalar!$E:$E,"kirim"))</f>
        <v/>
      </c>
      <c r="G91" s="8">
        <f>IF(A94="","",SUMIFS(Operatsiyalar!$J:$J,Operatsiyalar!$C:$C,A94,Operatsiyalar!$E:$E,"kirim"))</f>
        <v/>
      </c>
      <c r="H91" s="8">
        <f>IF(A94="","",SUMIFS(Operatsiyalar!$I:$I,Operatsiyalar!$C:$C,A94,Operatsiyalar!$E:$E,"chiqim"))</f>
        <v/>
      </c>
      <c r="I91" s="8">
        <f>IF(A94="","",SUMIFS(Operatsiyalar!$J:$J,Operatsiyalar!$C:$C,A94,Operatsiyalar!$E:$E,"chiqim"))</f>
        <v/>
      </c>
      <c r="J91" s="8">
        <f>IF(A94="","",D94+H94-F94)</f>
        <v/>
      </c>
      <c r="K91" s="8">
        <f>IF(A94="","",E94+I94-G94)</f>
        <v/>
      </c>
    </row>
    <row r="92">
      <c r="A92" s="5" t="n"/>
      <c r="B92" s="5" t="n"/>
      <c r="C92" s="6" t="n"/>
      <c r="D92" s="8" t="n"/>
      <c r="E92" s="8" t="n"/>
      <c r="F92" s="8">
        <f>IF(A95="","",SUMIFS(Operatsiyalar!$I:$I,Operatsiyalar!$C:$C,A95,Operatsiyalar!$E:$E,"kirim"))</f>
        <v/>
      </c>
      <c r="G92" s="8">
        <f>IF(A95="","",SUMIFS(Operatsiyalar!$J:$J,Operatsiyalar!$C:$C,A95,Operatsiyalar!$E:$E,"kirim"))</f>
        <v/>
      </c>
      <c r="H92" s="8">
        <f>IF(A95="","",SUMIFS(Operatsiyalar!$I:$I,Operatsiyalar!$C:$C,A95,Operatsiyalar!$E:$E,"chiqim"))</f>
        <v/>
      </c>
      <c r="I92" s="8">
        <f>IF(A95="","",SUMIFS(Operatsiyalar!$J:$J,Operatsiyalar!$C:$C,A95,Operatsiyalar!$E:$E,"chiqim"))</f>
        <v/>
      </c>
      <c r="J92" s="8">
        <f>IF(A95="","",D95+H95-F95)</f>
        <v/>
      </c>
      <c r="K92" s="8">
        <f>IF(A95="","",E95+I95-G95)</f>
        <v/>
      </c>
    </row>
    <row r="93">
      <c r="A93" s="5" t="n"/>
      <c r="B93" s="5" t="n"/>
      <c r="C93" s="6" t="n"/>
      <c r="D93" s="8" t="n"/>
      <c r="E93" s="8" t="n"/>
      <c r="F93" s="8">
        <f>IF(A96="","",SUMIFS(Operatsiyalar!$I:$I,Operatsiyalar!$C:$C,A96,Operatsiyalar!$E:$E,"kirim"))</f>
        <v/>
      </c>
      <c r="G93" s="8">
        <f>IF(A96="","",SUMIFS(Operatsiyalar!$J:$J,Operatsiyalar!$C:$C,A96,Operatsiyalar!$E:$E,"kirim"))</f>
        <v/>
      </c>
      <c r="H93" s="8">
        <f>IF(A96="","",SUMIFS(Operatsiyalar!$I:$I,Operatsiyalar!$C:$C,A96,Operatsiyalar!$E:$E,"chiqim"))</f>
        <v/>
      </c>
      <c r="I93" s="8">
        <f>IF(A96="","",SUMIFS(Operatsiyalar!$J:$J,Operatsiyalar!$C:$C,A96,Operatsiyalar!$E:$E,"chiqim"))</f>
        <v/>
      </c>
      <c r="J93" s="8">
        <f>IF(A96="","",D96+H96-F96)</f>
        <v/>
      </c>
      <c r="K93" s="8">
        <f>IF(A96="","",E96+I96-G96)</f>
        <v/>
      </c>
    </row>
    <row r="94">
      <c r="A94" s="5" t="n"/>
      <c r="B94" s="5" t="n"/>
      <c r="C94" s="6" t="n"/>
      <c r="D94" s="8" t="n"/>
      <c r="E94" s="8" t="n"/>
      <c r="F94" s="8">
        <f>IF(A97="","",SUMIFS(Operatsiyalar!$I:$I,Operatsiyalar!$C:$C,A97,Operatsiyalar!$E:$E,"kirim"))</f>
        <v/>
      </c>
      <c r="G94" s="8">
        <f>IF(A97="","",SUMIFS(Operatsiyalar!$J:$J,Operatsiyalar!$C:$C,A97,Operatsiyalar!$E:$E,"kirim"))</f>
        <v/>
      </c>
      <c r="H94" s="8">
        <f>IF(A97="","",SUMIFS(Operatsiyalar!$I:$I,Operatsiyalar!$C:$C,A97,Operatsiyalar!$E:$E,"chiqim"))</f>
        <v/>
      </c>
      <c r="I94" s="8">
        <f>IF(A97="","",SUMIFS(Operatsiyalar!$J:$J,Operatsiyalar!$C:$C,A97,Operatsiyalar!$E:$E,"chiqim"))</f>
        <v/>
      </c>
      <c r="J94" s="8">
        <f>IF(A97="","",D97+H97-F97)</f>
        <v/>
      </c>
      <c r="K94" s="8">
        <f>IF(A97="","",E97+I97-G97)</f>
        <v/>
      </c>
    </row>
    <row r="95">
      <c r="A95" s="5" t="n"/>
      <c r="B95" s="5" t="n"/>
      <c r="C95" s="6" t="n"/>
      <c r="D95" s="8" t="n"/>
      <c r="E95" s="8" t="n"/>
      <c r="F95" s="8">
        <f>IF(A98="","",SUMIFS(Operatsiyalar!$I:$I,Operatsiyalar!$C:$C,A98,Operatsiyalar!$E:$E,"kirim"))</f>
        <v/>
      </c>
      <c r="G95" s="8">
        <f>IF(A98="","",SUMIFS(Operatsiyalar!$J:$J,Operatsiyalar!$C:$C,A98,Operatsiyalar!$E:$E,"kirim"))</f>
        <v/>
      </c>
      <c r="H95" s="8">
        <f>IF(A98="","",SUMIFS(Operatsiyalar!$I:$I,Operatsiyalar!$C:$C,A98,Operatsiyalar!$E:$E,"chiqim"))</f>
        <v/>
      </c>
      <c r="I95" s="8">
        <f>IF(A98="","",SUMIFS(Operatsiyalar!$J:$J,Operatsiyalar!$C:$C,A98,Operatsiyalar!$E:$E,"chiqim"))</f>
        <v/>
      </c>
      <c r="J95" s="8">
        <f>IF(A98="","",D98+H98-F98)</f>
        <v/>
      </c>
      <c r="K95" s="8">
        <f>IF(A98="","",E98+I98-G98)</f>
        <v/>
      </c>
    </row>
    <row r="96">
      <c r="A96" s="5" t="n"/>
      <c r="B96" s="5" t="n"/>
      <c r="C96" s="6" t="n"/>
      <c r="D96" s="8" t="n"/>
      <c r="E96" s="8" t="n"/>
      <c r="F96" s="8">
        <f>IF(A99="","",SUMIFS(Operatsiyalar!$I:$I,Operatsiyalar!$C:$C,A99,Operatsiyalar!$E:$E,"kirim"))</f>
        <v/>
      </c>
      <c r="G96" s="8">
        <f>IF(A99="","",SUMIFS(Operatsiyalar!$J:$J,Operatsiyalar!$C:$C,A99,Operatsiyalar!$E:$E,"kirim"))</f>
        <v/>
      </c>
      <c r="H96" s="8">
        <f>IF(A99="","",SUMIFS(Operatsiyalar!$I:$I,Operatsiyalar!$C:$C,A99,Operatsiyalar!$E:$E,"chiqim"))</f>
        <v/>
      </c>
      <c r="I96" s="8">
        <f>IF(A99="","",SUMIFS(Operatsiyalar!$J:$J,Operatsiyalar!$C:$C,A99,Operatsiyalar!$E:$E,"chiqim"))</f>
        <v/>
      </c>
      <c r="J96" s="8">
        <f>IF(A99="","",D99+H99-F99)</f>
        <v/>
      </c>
      <c r="K96" s="8">
        <f>IF(A99="","",E99+I99-G99)</f>
        <v/>
      </c>
    </row>
    <row r="97">
      <c r="A97" s="5" t="n"/>
      <c r="B97" s="5" t="n"/>
      <c r="C97" s="6" t="n"/>
      <c r="D97" s="8" t="n"/>
      <c r="E97" s="8" t="n"/>
      <c r="F97" s="8">
        <f>IF(A100="","",SUMIFS(Operatsiyalar!$I:$I,Operatsiyalar!$C:$C,A100,Operatsiyalar!$E:$E,"kirim"))</f>
        <v/>
      </c>
      <c r="G97" s="8">
        <f>IF(A100="","",SUMIFS(Operatsiyalar!$J:$J,Operatsiyalar!$C:$C,A100,Operatsiyalar!$E:$E,"kirim"))</f>
        <v/>
      </c>
      <c r="H97" s="8">
        <f>IF(A100="","",SUMIFS(Operatsiyalar!$I:$I,Operatsiyalar!$C:$C,A100,Operatsiyalar!$E:$E,"chiqim"))</f>
        <v/>
      </c>
      <c r="I97" s="8">
        <f>IF(A100="","",SUMIFS(Operatsiyalar!$J:$J,Operatsiyalar!$C:$C,A100,Operatsiyalar!$E:$E,"chiqim"))</f>
        <v/>
      </c>
      <c r="J97" s="8">
        <f>IF(A100="","",D100+H100-F100)</f>
        <v/>
      </c>
      <c r="K97" s="8">
        <f>IF(A100="","",E100+I100-G100)</f>
        <v/>
      </c>
    </row>
    <row r="98">
      <c r="A98" s="5" t="n"/>
      <c r="B98" s="5" t="n"/>
      <c r="C98" s="6" t="n"/>
      <c r="D98" s="8" t="n"/>
      <c r="E98" s="8" t="n"/>
      <c r="F98" s="8">
        <f>IF(A101="","",SUMIFS(Operatsiyalar!$I:$I,Operatsiyalar!$C:$C,A101,Operatsiyalar!$E:$E,"kirim"))</f>
        <v/>
      </c>
      <c r="G98" s="8">
        <f>IF(A101="","",SUMIFS(Operatsiyalar!$J:$J,Operatsiyalar!$C:$C,A101,Operatsiyalar!$E:$E,"kirim"))</f>
        <v/>
      </c>
      <c r="H98" s="8">
        <f>IF(A101="","",SUMIFS(Operatsiyalar!$I:$I,Operatsiyalar!$C:$C,A101,Operatsiyalar!$E:$E,"chiqim"))</f>
        <v/>
      </c>
      <c r="I98" s="8">
        <f>IF(A101="","",SUMIFS(Operatsiyalar!$J:$J,Operatsiyalar!$C:$C,A101,Operatsiyalar!$E:$E,"chiqim"))</f>
        <v/>
      </c>
      <c r="J98" s="8">
        <f>IF(A101="","",D101+H101-F101)</f>
        <v/>
      </c>
      <c r="K98" s="8">
        <f>IF(A101="","",E101+I101-G101)</f>
        <v/>
      </c>
    </row>
    <row r="99">
      <c r="A99" s="5" t="n"/>
      <c r="B99" s="5" t="n"/>
      <c r="C99" s="6" t="n"/>
      <c r="D99" s="8" t="n"/>
      <c r="E99" s="8" t="n"/>
      <c r="F99" s="8">
        <f>IF(A102="","",SUMIFS(Operatsiyalar!$I:$I,Operatsiyalar!$C:$C,A102,Operatsiyalar!$E:$E,"kirim"))</f>
        <v/>
      </c>
      <c r="G99" s="8">
        <f>IF(A102="","",SUMIFS(Operatsiyalar!$J:$J,Operatsiyalar!$C:$C,A102,Operatsiyalar!$E:$E,"kirim"))</f>
        <v/>
      </c>
      <c r="H99" s="8">
        <f>IF(A102="","",SUMIFS(Operatsiyalar!$I:$I,Operatsiyalar!$C:$C,A102,Operatsiyalar!$E:$E,"chiqim"))</f>
        <v/>
      </c>
      <c r="I99" s="8">
        <f>IF(A102="","",SUMIFS(Operatsiyalar!$J:$J,Operatsiyalar!$C:$C,A102,Operatsiyalar!$E:$E,"chiqim"))</f>
        <v/>
      </c>
      <c r="J99" s="8">
        <f>IF(A102="","",D102+H102-F102)</f>
        <v/>
      </c>
      <c r="K99" s="8">
        <f>IF(A102="","",E102+I102-G102)</f>
        <v/>
      </c>
    </row>
    <row r="100">
      <c r="A100" s="5" t="n"/>
      <c r="B100" s="5" t="n"/>
      <c r="C100" s="6" t="n"/>
      <c r="D100" s="8" t="n"/>
      <c r="E100" s="8" t="n"/>
      <c r="F100" s="8">
        <f>IF(A103="","",SUMIFS(Operatsiyalar!$I:$I,Operatsiyalar!$C:$C,A103,Operatsiyalar!$E:$E,"kirim"))</f>
        <v/>
      </c>
      <c r="G100" s="8">
        <f>IF(A103="","",SUMIFS(Operatsiyalar!$J:$J,Operatsiyalar!$C:$C,A103,Operatsiyalar!$E:$E,"kirim"))</f>
        <v/>
      </c>
      <c r="H100" s="8">
        <f>IF(A103="","",SUMIFS(Operatsiyalar!$I:$I,Operatsiyalar!$C:$C,A103,Operatsiyalar!$E:$E,"chiqim"))</f>
        <v/>
      </c>
      <c r="I100" s="8">
        <f>IF(A103="","",SUMIFS(Operatsiyalar!$J:$J,Operatsiyalar!$C:$C,A103,Operatsiyalar!$E:$E,"chiqim"))</f>
        <v/>
      </c>
      <c r="J100" s="8">
        <f>IF(A103="","",D103+H103-F103)</f>
        <v/>
      </c>
      <c r="K100" s="8">
        <f>IF(A103="","",E103+I103-G103)</f>
        <v/>
      </c>
    </row>
    <row r="101">
      <c r="A101" s="5" t="n"/>
      <c r="B101" s="5" t="n"/>
      <c r="C101" s="6" t="n"/>
      <c r="D101" s="8" t="n"/>
      <c r="E101" s="8" t="n"/>
      <c r="F101" s="8">
        <f>IF(A104="","",SUMIFS(Operatsiyalar!$I:$I,Operatsiyalar!$C:$C,A104,Operatsiyalar!$E:$E,"kirim"))</f>
        <v/>
      </c>
      <c r="G101" s="8">
        <f>IF(A104="","",SUMIFS(Operatsiyalar!$J:$J,Operatsiyalar!$C:$C,A104,Operatsiyalar!$E:$E,"kirim"))</f>
        <v/>
      </c>
      <c r="H101" s="8">
        <f>IF(A104="","",SUMIFS(Operatsiyalar!$I:$I,Operatsiyalar!$C:$C,A104,Operatsiyalar!$E:$E,"chiqim"))</f>
        <v/>
      </c>
      <c r="I101" s="8">
        <f>IF(A104="","",SUMIFS(Operatsiyalar!$J:$J,Operatsiyalar!$C:$C,A104,Operatsiyalar!$E:$E,"chiqim"))</f>
        <v/>
      </c>
      <c r="J101" s="8">
        <f>IF(A104="","",D104+H104-F104)</f>
        <v/>
      </c>
      <c r="K101" s="8">
        <f>IF(A104="","",E104+I104-G104)</f>
        <v/>
      </c>
    </row>
    <row r="102">
      <c r="A102" s="5" t="n"/>
      <c r="B102" s="5" t="n"/>
      <c r="C102" s="6" t="n"/>
      <c r="D102" s="8" t="n"/>
      <c r="E102" s="8" t="n"/>
      <c r="F102" s="8">
        <f>IF(A105="","",SUMIFS(Operatsiyalar!$I:$I,Operatsiyalar!$C:$C,A105,Operatsiyalar!$E:$E,"kirim"))</f>
        <v/>
      </c>
      <c r="G102" s="8">
        <f>IF(A105="","",SUMIFS(Operatsiyalar!$J:$J,Operatsiyalar!$C:$C,A105,Operatsiyalar!$E:$E,"kirim"))</f>
        <v/>
      </c>
      <c r="H102" s="8">
        <f>IF(A105="","",SUMIFS(Operatsiyalar!$I:$I,Operatsiyalar!$C:$C,A105,Operatsiyalar!$E:$E,"chiqim"))</f>
        <v/>
      </c>
      <c r="I102" s="8">
        <f>IF(A105="","",SUMIFS(Operatsiyalar!$J:$J,Operatsiyalar!$C:$C,A105,Operatsiyalar!$E:$E,"chiqim"))</f>
        <v/>
      </c>
      <c r="J102" s="8">
        <f>IF(A105="","",D105+H105-F105)</f>
        <v/>
      </c>
      <c r="K102" s="8">
        <f>IF(A105="","",E105+I105-G105)</f>
        <v/>
      </c>
    </row>
    <row r="103">
      <c r="A103" s="5" t="n"/>
      <c r="B103" s="5" t="n"/>
      <c r="C103" s="6" t="n"/>
      <c r="D103" s="8" t="n"/>
      <c r="E103" s="8" t="n"/>
      <c r="F103" s="8">
        <f>IF(A106="","",SUMIFS(Operatsiyalar!$I:$I,Operatsiyalar!$C:$C,A106,Operatsiyalar!$E:$E,"kirim"))</f>
        <v/>
      </c>
      <c r="G103" s="8">
        <f>IF(A106="","",SUMIFS(Operatsiyalar!$J:$J,Operatsiyalar!$C:$C,A106,Operatsiyalar!$E:$E,"kirim"))</f>
        <v/>
      </c>
      <c r="H103" s="8">
        <f>IF(A106="","",SUMIFS(Operatsiyalar!$I:$I,Operatsiyalar!$C:$C,A106,Operatsiyalar!$E:$E,"chiqim"))</f>
        <v/>
      </c>
      <c r="I103" s="8">
        <f>IF(A106="","",SUMIFS(Operatsiyalar!$J:$J,Operatsiyalar!$C:$C,A106,Operatsiyalar!$E:$E,"chiqim"))</f>
        <v/>
      </c>
      <c r="J103" s="8">
        <f>IF(A106="","",D106+H106-F106)</f>
        <v/>
      </c>
      <c r="K103" s="8">
        <f>IF(A106="","",E106+I106-G106)</f>
        <v/>
      </c>
    </row>
    <row r="104">
      <c r="A104" s="5" t="n"/>
      <c r="B104" s="5" t="n"/>
      <c r="C104" s="6" t="n"/>
      <c r="D104" s="8" t="n"/>
      <c r="E104" s="8" t="n"/>
      <c r="F104" s="8">
        <f>IF(A107="","",SUMIFS(Operatsiyalar!$I:$I,Operatsiyalar!$C:$C,A107,Operatsiyalar!$E:$E,"kirim"))</f>
        <v/>
      </c>
      <c r="G104" s="8">
        <f>IF(A107="","",SUMIFS(Operatsiyalar!$J:$J,Operatsiyalar!$C:$C,A107,Operatsiyalar!$E:$E,"kirim"))</f>
        <v/>
      </c>
      <c r="H104" s="8">
        <f>IF(A107="","",SUMIFS(Operatsiyalar!$I:$I,Operatsiyalar!$C:$C,A107,Operatsiyalar!$E:$E,"chiqim"))</f>
        <v/>
      </c>
      <c r="I104" s="8">
        <f>IF(A107="","",SUMIFS(Operatsiyalar!$J:$J,Operatsiyalar!$C:$C,A107,Operatsiyalar!$E:$E,"chiqim"))</f>
        <v/>
      </c>
      <c r="J104" s="8">
        <f>IF(A107="","",D107+H107-F107)</f>
        <v/>
      </c>
      <c r="K104" s="8">
        <f>IF(A107="","",E107+I107-G107)</f>
        <v/>
      </c>
    </row>
    <row r="105">
      <c r="A105" s="5" t="n"/>
      <c r="B105" s="5" t="n"/>
      <c r="C105" s="6" t="n"/>
      <c r="D105" s="8" t="n"/>
      <c r="E105" s="8" t="n"/>
      <c r="F105" s="8">
        <f>IF(A108="","",SUMIFS(Operatsiyalar!$I:$I,Operatsiyalar!$C:$C,A108,Operatsiyalar!$E:$E,"kirim"))</f>
        <v/>
      </c>
      <c r="G105" s="8">
        <f>IF(A108="","",SUMIFS(Operatsiyalar!$J:$J,Operatsiyalar!$C:$C,A108,Operatsiyalar!$E:$E,"kirim"))</f>
        <v/>
      </c>
      <c r="H105" s="8">
        <f>IF(A108="","",SUMIFS(Operatsiyalar!$I:$I,Operatsiyalar!$C:$C,A108,Operatsiyalar!$E:$E,"chiqim"))</f>
        <v/>
      </c>
      <c r="I105" s="8">
        <f>IF(A108="","",SUMIFS(Operatsiyalar!$J:$J,Operatsiyalar!$C:$C,A108,Operatsiyalar!$E:$E,"chiqim"))</f>
        <v/>
      </c>
      <c r="J105" s="8">
        <f>IF(A108="","",D108+H108-F108)</f>
        <v/>
      </c>
      <c r="K105" s="8">
        <f>IF(A108="","",E108+I108-G108)</f>
        <v/>
      </c>
    </row>
    <row r="106">
      <c r="A106" s="5" t="n"/>
      <c r="B106" s="5" t="n"/>
      <c r="C106" s="6" t="n"/>
      <c r="D106" s="8" t="n"/>
      <c r="E106" s="8" t="n"/>
      <c r="F106" s="8">
        <f>IF(A109="","",SUMIFS(Operatsiyalar!$I:$I,Operatsiyalar!$C:$C,A109,Operatsiyalar!$E:$E,"kirim"))</f>
        <v/>
      </c>
      <c r="G106" s="8">
        <f>IF(A109="","",SUMIFS(Operatsiyalar!$J:$J,Operatsiyalar!$C:$C,A109,Operatsiyalar!$E:$E,"kirim"))</f>
        <v/>
      </c>
      <c r="H106" s="8">
        <f>IF(A109="","",SUMIFS(Operatsiyalar!$I:$I,Operatsiyalar!$C:$C,A109,Operatsiyalar!$E:$E,"chiqim"))</f>
        <v/>
      </c>
      <c r="I106" s="8">
        <f>IF(A109="","",SUMIFS(Operatsiyalar!$J:$J,Operatsiyalar!$C:$C,A109,Operatsiyalar!$E:$E,"chiqim"))</f>
        <v/>
      </c>
      <c r="J106" s="8">
        <f>IF(A109="","",D109+H109-F109)</f>
        <v/>
      </c>
      <c r="K106" s="8">
        <f>IF(A109="","",E109+I109-G109)</f>
        <v/>
      </c>
    </row>
    <row r="107">
      <c r="A107" s="5" t="n"/>
      <c r="B107" s="5" t="n"/>
      <c r="C107" s="6" t="n"/>
      <c r="D107" s="8" t="n"/>
      <c r="E107" s="8" t="n"/>
      <c r="F107" s="8">
        <f>IF(A110="","",SUMIFS(Operatsiyalar!$I:$I,Operatsiyalar!$C:$C,A110,Operatsiyalar!$E:$E,"kirim"))</f>
        <v/>
      </c>
      <c r="G107" s="8">
        <f>IF(A110="","",SUMIFS(Operatsiyalar!$J:$J,Operatsiyalar!$C:$C,A110,Operatsiyalar!$E:$E,"kirim"))</f>
        <v/>
      </c>
      <c r="H107" s="8">
        <f>IF(A110="","",SUMIFS(Operatsiyalar!$I:$I,Operatsiyalar!$C:$C,A110,Operatsiyalar!$E:$E,"chiqim"))</f>
        <v/>
      </c>
      <c r="I107" s="8">
        <f>IF(A110="","",SUMIFS(Operatsiyalar!$J:$J,Operatsiyalar!$C:$C,A110,Operatsiyalar!$E:$E,"chiqim"))</f>
        <v/>
      </c>
      <c r="J107" s="8">
        <f>IF(A110="","",D110+H110-F110)</f>
        <v/>
      </c>
      <c r="K107" s="8">
        <f>IF(A110="","",E110+I110-G110)</f>
        <v/>
      </c>
    </row>
    <row r="108">
      <c r="A108" s="5" t="n"/>
      <c r="B108" s="5" t="n"/>
      <c r="C108" s="6" t="n"/>
      <c r="D108" s="8" t="n"/>
      <c r="E108" s="8" t="n"/>
      <c r="F108" s="8">
        <f>IF(A111="","",SUMIFS(Operatsiyalar!$I:$I,Operatsiyalar!$C:$C,A111,Operatsiyalar!$E:$E,"kirim"))</f>
        <v/>
      </c>
      <c r="G108" s="8">
        <f>IF(A111="","",SUMIFS(Operatsiyalar!$J:$J,Operatsiyalar!$C:$C,A111,Operatsiyalar!$E:$E,"kirim"))</f>
        <v/>
      </c>
      <c r="H108" s="8">
        <f>IF(A111="","",SUMIFS(Operatsiyalar!$I:$I,Operatsiyalar!$C:$C,A111,Operatsiyalar!$E:$E,"chiqim"))</f>
        <v/>
      </c>
      <c r="I108" s="8">
        <f>IF(A111="","",SUMIFS(Operatsiyalar!$J:$J,Operatsiyalar!$C:$C,A111,Operatsiyalar!$E:$E,"chiqim"))</f>
        <v/>
      </c>
      <c r="J108" s="8">
        <f>IF(A111="","",D111+H111-F111)</f>
        <v/>
      </c>
      <c r="K108" s="8">
        <f>IF(A111="","",E111+I111-G111)</f>
        <v/>
      </c>
    </row>
    <row r="109">
      <c r="A109" s="5" t="n"/>
      <c r="B109" s="5" t="n"/>
      <c r="C109" s="6" t="n"/>
      <c r="D109" s="8" t="n"/>
      <c r="E109" s="8" t="n"/>
      <c r="F109" s="8">
        <f>IF(A112="","",SUMIFS(Operatsiyalar!$I:$I,Operatsiyalar!$C:$C,A112,Operatsiyalar!$E:$E,"kirim"))</f>
        <v/>
      </c>
      <c r="G109" s="8">
        <f>IF(A112="","",SUMIFS(Operatsiyalar!$J:$J,Operatsiyalar!$C:$C,A112,Operatsiyalar!$E:$E,"kirim"))</f>
        <v/>
      </c>
      <c r="H109" s="8">
        <f>IF(A112="","",SUMIFS(Operatsiyalar!$I:$I,Operatsiyalar!$C:$C,A112,Operatsiyalar!$E:$E,"chiqim"))</f>
        <v/>
      </c>
      <c r="I109" s="8">
        <f>IF(A112="","",SUMIFS(Operatsiyalar!$J:$J,Operatsiyalar!$C:$C,A112,Operatsiyalar!$E:$E,"chiqim"))</f>
        <v/>
      </c>
      <c r="J109" s="8">
        <f>IF(A112="","",D112+H112-F112)</f>
        <v/>
      </c>
      <c r="K109" s="8">
        <f>IF(A112="","",E112+I112-G112)</f>
        <v/>
      </c>
    </row>
    <row r="110">
      <c r="A110" s="5" t="n"/>
      <c r="B110" s="5" t="n"/>
      <c r="C110" s="6" t="n"/>
      <c r="D110" s="8" t="n"/>
      <c r="E110" s="8" t="n"/>
      <c r="F110" s="8">
        <f>IF(A113="","",SUMIFS(Operatsiyalar!$I:$I,Operatsiyalar!$C:$C,A113,Operatsiyalar!$E:$E,"kirim"))</f>
        <v/>
      </c>
      <c r="G110" s="8">
        <f>IF(A113="","",SUMIFS(Operatsiyalar!$J:$J,Operatsiyalar!$C:$C,A113,Operatsiyalar!$E:$E,"kirim"))</f>
        <v/>
      </c>
      <c r="H110" s="8">
        <f>IF(A113="","",SUMIFS(Operatsiyalar!$I:$I,Operatsiyalar!$C:$C,A113,Operatsiyalar!$E:$E,"chiqim"))</f>
        <v/>
      </c>
      <c r="I110" s="8">
        <f>IF(A113="","",SUMIFS(Operatsiyalar!$J:$J,Operatsiyalar!$C:$C,A113,Operatsiyalar!$E:$E,"chiqim"))</f>
        <v/>
      </c>
      <c r="J110" s="8">
        <f>IF(A113="","",D113+H113-F113)</f>
        <v/>
      </c>
      <c r="K110" s="8">
        <f>IF(A113="","",E113+I113-G113)</f>
        <v/>
      </c>
    </row>
    <row r="111">
      <c r="A111" s="5" t="n"/>
      <c r="B111" s="5" t="n"/>
      <c r="C111" s="6" t="n"/>
      <c r="D111" s="8" t="n"/>
      <c r="E111" s="8" t="n"/>
      <c r="F111" s="8">
        <f>IF(A114="","",SUMIFS(Operatsiyalar!$I:$I,Operatsiyalar!$C:$C,A114,Operatsiyalar!$E:$E,"kirim"))</f>
        <v/>
      </c>
      <c r="G111" s="8">
        <f>IF(A114="","",SUMIFS(Operatsiyalar!$J:$J,Operatsiyalar!$C:$C,A114,Operatsiyalar!$E:$E,"kirim"))</f>
        <v/>
      </c>
      <c r="H111" s="8">
        <f>IF(A114="","",SUMIFS(Operatsiyalar!$I:$I,Operatsiyalar!$C:$C,A114,Operatsiyalar!$E:$E,"chiqim"))</f>
        <v/>
      </c>
      <c r="I111" s="8">
        <f>IF(A114="","",SUMIFS(Operatsiyalar!$J:$J,Operatsiyalar!$C:$C,A114,Operatsiyalar!$E:$E,"chiqim"))</f>
        <v/>
      </c>
      <c r="J111" s="8">
        <f>IF(A114="","",D114+H114-F114)</f>
        <v/>
      </c>
      <c r="K111" s="8">
        <f>IF(A114="","",E114+I114-G114)</f>
        <v/>
      </c>
    </row>
    <row r="112">
      <c r="A112" s="5" t="n"/>
      <c r="B112" s="5" t="n"/>
      <c r="C112" s="6" t="n"/>
      <c r="D112" s="8" t="n"/>
      <c r="E112" s="8" t="n"/>
      <c r="F112" s="8">
        <f>IF(A115="","",SUMIFS(Operatsiyalar!$I:$I,Operatsiyalar!$C:$C,A115,Operatsiyalar!$E:$E,"kirim"))</f>
        <v/>
      </c>
      <c r="G112" s="8">
        <f>IF(A115="","",SUMIFS(Operatsiyalar!$J:$J,Operatsiyalar!$C:$C,A115,Operatsiyalar!$E:$E,"kirim"))</f>
        <v/>
      </c>
      <c r="H112" s="8">
        <f>IF(A115="","",SUMIFS(Operatsiyalar!$I:$I,Operatsiyalar!$C:$C,A115,Operatsiyalar!$E:$E,"chiqim"))</f>
        <v/>
      </c>
      <c r="I112" s="8">
        <f>IF(A115="","",SUMIFS(Operatsiyalar!$J:$J,Operatsiyalar!$C:$C,A115,Operatsiyalar!$E:$E,"chiqim"))</f>
        <v/>
      </c>
      <c r="J112" s="8">
        <f>IF(A115="","",D115+H115-F115)</f>
        <v/>
      </c>
      <c r="K112" s="8">
        <f>IF(A115="","",E115+I115-G115)</f>
        <v/>
      </c>
    </row>
    <row r="113">
      <c r="A113" s="5" t="n"/>
      <c r="B113" s="5" t="n"/>
      <c r="C113" s="6" t="n"/>
      <c r="D113" s="8" t="n"/>
      <c r="E113" s="8" t="n"/>
      <c r="F113" s="8">
        <f>IF(A116="","",SUMIFS(Operatsiyalar!$I:$I,Operatsiyalar!$C:$C,A116,Operatsiyalar!$E:$E,"kirim"))</f>
        <v/>
      </c>
      <c r="G113" s="8">
        <f>IF(A116="","",SUMIFS(Operatsiyalar!$J:$J,Operatsiyalar!$C:$C,A116,Operatsiyalar!$E:$E,"kirim"))</f>
        <v/>
      </c>
      <c r="H113" s="8">
        <f>IF(A116="","",SUMIFS(Operatsiyalar!$I:$I,Operatsiyalar!$C:$C,A116,Operatsiyalar!$E:$E,"chiqim"))</f>
        <v/>
      </c>
      <c r="I113" s="8">
        <f>IF(A116="","",SUMIFS(Operatsiyalar!$J:$J,Operatsiyalar!$C:$C,A116,Operatsiyalar!$E:$E,"chiqim"))</f>
        <v/>
      </c>
      <c r="J113" s="8">
        <f>IF(A116="","",D116+H116-F116)</f>
        <v/>
      </c>
      <c r="K113" s="8">
        <f>IF(A116="","",E116+I116-G116)</f>
        <v/>
      </c>
    </row>
    <row r="114">
      <c r="A114" s="5" t="n"/>
      <c r="B114" s="5" t="n"/>
      <c r="C114" s="6" t="n"/>
      <c r="D114" s="8" t="n"/>
      <c r="E114" s="8" t="n"/>
      <c r="F114" s="8">
        <f>IF(A117="","",SUMIFS(Operatsiyalar!$I:$I,Operatsiyalar!$C:$C,A117,Operatsiyalar!$E:$E,"kirim"))</f>
        <v/>
      </c>
      <c r="G114" s="8">
        <f>IF(A117="","",SUMIFS(Operatsiyalar!$J:$J,Operatsiyalar!$C:$C,A117,Operatsiyalar!$E:$E,"kirim"))</f>
        <v/>
      </c>
      <c r="H114" s="8">
        <f>IF(A117="","",SUMIFS(Operatsiyalar!$I:$I,Operatsiyalar!$C:$C,A117,Operatsiyalar!$E:$E,"chiqim"))</f>
        <v/>
      </c>
      <c r="I114" s="8">
        <f>IF(A117="","",SUMIFS(Operatsiyalar!$J:$J,Operatsiyalar!$C:$C,A117,Operatsiyalar!$E:$E,"chiqim"))</f>
        <v/>
      </c>
      <c r="J114" s="8">
        <f>IF(A117="","",D117+H117-F117)</f>
        <v/>
      </c>
      <c r="K114" s="8">
        <f>IF(A117="","",E117+I117-G117)</f>
        <v/>
      </c>
    </row>
    <row r="115">
      <c r="A115" s="5" t="n"/>
      <c r="B115" s="5" t="n"/>
      <c r="C115" s="6" t="n"/>
      <c r="D115" s="8" t="n"/>
      <c r="E115" s="8" t="n"/>
      <c r="F115" s="8">
        <f>IF(A118="","",SUMIFS(Operatsiyalar!$I:$I,Operatsiyalar!$C:$C,A118,Operatsiyalar!$E:$E,"kirim"))</f>
        <v/>
      </c>
      <c r="G115" s="8">
        <f>IF(A118="","",SUMIFS(Operatsiyalar!$J:$J,Operatsiyalar!$C:$C,A118,Operatsiyalar!$E:$E,"kirim"))</f>
        <v/>
      </c>
      <c r="H115" s="8">
        <f>IF(A118="","",SUMIFS(Operatsiyalar!$I:$I,Operatsiyalar!$C:$C,A118,Operatsiyalar!$E:$E,"chiqim"))</f>
        <v/>
      </c>
      <c r="I115" s="8">
        <f>IF(A118="","",SUMIFS(Operatsiyalar!$J:$J,Operatsiyalar!$C:$C,A118,Operatsiyalar!$E:$E,"chiqim"))</f>
        <v/>
      </c>
      <c r="J115" s="8">
        <f>IF(A118="","",D118+H118-F118)</f>
        <v/>
      </c>
      <c r="K115" s="8">
        <f>IF(A118="","",E118+I118-G118)</f>
        <v/>
      </c>
    </row>
    <row r="116">
      <c r="A116" s="5" t="n"/>
      <c r="B116" s="5" t="n"/>
      <c r="C116" s="6" t="n"/>
      <c r="D116" s="8" t="n"/>
      <c r="E116" s="8" t="n"/>
      <c r="F116" s="8">
        <f>IF(A119="","",SUMIFS(Operatsiyalar!$I:$I,Operatsiyalar!$C:$C,A119,Operatsiyalar!$E:$E,"kirim"))</f>
        <v/>
      </c>
      <c r="G116" s="8">
        <f>IF(A119="","",SUMIFS(Operatsiyalar!$J:$J,Operatsiyalar!$C:$C,A119,Operatsiyalar!$E:$E,"kirim"))</f>
        <v/>
      </c>
      <c r="H116" s="8">
        <f>IF(A119="","",SUMIFS(Operatsiyalar!$I:$I,Operatsiyalar!$C:$C,A119,Operatsiyalar!$E:$E,"chiqim"))</f>
        <v/>
      </c>
      <c r="I116" s="8">
        <f>IF(A119="","",SUMIFS(Operatsiyalar!$J:$J,Operatsiyalar!$C:$C,A119,Operatsiyalar!$E:$E,"chiqim"))</f>
        <v/>
      </c>
      <c r="J116" s="8">
        <f>IF(A119="","",D119+H119-F119)</f>
        <v/>
      </c>
      <c r="K116" s="8">
        <f>IF(A119="","",E119+I119-G119)</f>
        <v/>
      </c>
    </row>
    <row r="117">
      <c r="A117" s="5" t="n"/>
      <c r="B117" s="5" t="n"/>
      <c r="C117" s="6" t="n"/>
      <c r="D117" s="8" t="n"/>
      <c r="E117" s="8" t="n"/>
      <c r="F117" s="8">
        <f>IF(A120="","",SUMIFS(Operatsiyalar!$I:$I,Operatsiyalar!$C:$C,A120,Operatsiyalar!$E:$E,"kirim"))</f>
        <v/>
      </c>
      <c r="G117" s="8">
        <f>IF(A120="","",SUMIFS(Operatsiyalar!$J:$J,Operatsiyalar!$C:$C,A120,Operatsiyalar!$E:$E,"kirim"))</f>
        <v/>
      </c>
      <c r="H117" s="8">
        <f>IF(A120="","",SUMIFS(Operatsiyalar!$I:$I,Operatsiyalar!$C:$C,A120,Operatsiyalar!$E:$E,"chiqim"))</f>
        <v/>
      </c>
      <c r="I117" s="8">
        <f>IF(A120="","",SUMIFS(Operatsiyalar!$J:$J,Operatsiyalar!$C:$C,A120,Operatsiyalar!$E:$E,"chiqim"))</f>
        <v/>
      </c>
      <c r="J117" s="8">
        <f>IF(A120="","",D120+H120-F120)</f>
        <v/>
      </c>
      <c r="K117" s="8">
        <f>IF(A120="","",E120+I120-G120)</f>
        <v/>
      </c>
    </row>
    <row r="118">
      <c r="A118" s="5" t="n"/>
      <c r="B118" s="5" t="n"/>
      <c r="C118" s="6" t="n"/>
      <c r="D118" s="8" t="n"/>
      <c r="E118" s="8" t="n"/>
      <c r="F118" s="8">
        <f>IF(A121="","",SUMIFS(Operatsiyalar!$I:$I,Operatsiyalar!$C:$C,A121,Operatsiyalar!$E:$E,"kirim"))</f>
        <v/>
      </c>
      <c r="G118" s="8">
        <f>IF(A121="","",SUMIFS(Operatsiyalar!$J:$J,Operatsiyalar!$C:$C,A121,Operatsiyalar!$E:$E,"kirim"))</f>
        <v/>
      </c>
      <c r="H118" s="8">
        <f>IF(A121="","",SUMIFS(Operatsiyalar!$I:$I,Operatsiyalar!$C:$C,A121,Operatsiyalar!$E:$E,"chiqim"))</f>
        <v/>
      </c>
      <c r="I118" s="8">
        <f>IF(A121="","",SUMIFS(Operatsiyalar!$J:$J,Operatsiyalar!$C:$C,A121,Operatsiyalar!$E:$E,"chiqim"))</f>
        <v/>
      </c>
      <c r="J118" s="8">
        <f>IF(A121="","",D121+H121-F121)</f>
        <v/>
      </c>
      <c r="K118" s="8">
        <f>IF(A121="","",E121+I121-G121)</f>
        <v/>
      </c>
    </row>
    <row r="119">
      <c r="A119" s="5" t="n"/>
      <c r="B119" s="5" t="n"/>
      <c r="C119" s="6" t="n"/>
      <c r="D119" s="8" t="n"/>
      <c r="E119" s="8" t="n"/>
      <c r="F119" s="8">
        <f>IF(A122="","",SUMIFS(Operatsiyalar!$I:$I,Operatsiyalar!$C:$C,A122,Operatsiyalar!$E:$E,"kirim"))</f>
        <v/>
      </c>
      <c r="G119" s="8">
        <f>IF(A122="","",SUMIFS(Operatsiyalar!$J:$J,Operatsiyalar!$C:$C,A122,Operatsiyalar!$E:$E,"kirim"))</f>
        <v/>
      </c>
      <c r="H119" s="8">
        <f>IF(A122="","",SUMIFS(Operatsiyalar!$I:$I,Operatsiyalar!$C:$C,A122,Operatsiyalar!$E:$E,"chiqim"))</f>
        <v/>
      </c>
      <c r="I119" s="8">
        <f>IF(A122="","",SUMIFS(Operatsiyalar!$J:$J,Operatsiyalar!$C:$C,A122,Operatsiyalar!$E:$E,"chiqim"))</f>
        <v/>
      </c>
      <c r="J119" s="8">
        <f>IF(A122="","",D122+H122-F122)</f>
        <v/>
      </c>
      <c r="K119" s="8">
        <f>IF(A122="","",E122+I122-G122)</f>
        <v/>
      </c>
    </row>
    <row r="120">
      <c r="A120" s="5" t="n"/>
      <c r="B120" s="5" t="n"/>
      <c r="C120" s="6" t="n"/>
      <c r="D120" s="8" t="n"/>
      <c r="E120" s="8" t="n"/>
      <c r="F120" s="8">
        <f>IF(A123="","",SUMIFS(Operatsiyalar!$I:$I,Operatsiyalar!$C:$C,A123,Operatsiyalar!$E:$E,"kirim"))</f>
        <v/>
      </c>
      <c r="G120" s="8">
        <f>IF(A123="","",SUMIFS(Operatsiyalar!$J:$J,Operatsiyalar!$C:$C,A123,Operatsiyalar!$E:$E,"kirim"))</f>
        <v/>
      </c>
      <c r="H120" s="8">
        <f>IF(A123="","",SUMIFS(Operatsiyalar!$I:$I,Operatsiyalar!$C:$C,A123,Operatsiyalar!$E:$E,"chiqim"))</f>
        <v/>
      </c>
      <c r="I120" s="8">
        <f>IF(A123="","",SUMIFS(Operatsiyalar!$J:$J,Operatsiyalar!$C:$C,A123,Operatsiyalar!$E:$E,"chiqim"))</f>
        <v/>
      </c>
      <c r="J120" s="8">
        <f>IF(A123="","",D123+H123-F123)</f>
        <v/>
      </c>
      <c r="K120" s="8">
        <f>IF(A123="","",E123+I123-G123)</f>
        <v/>
      </c>
    </row>
    <row r="121">
      <c r="A121" s="5" t="n"/>
      <c r="B121" s="5" t="n"/>
      <c r="C121" s="6" t="n"/>
      <c r="D121" s="8" t="n"/>
      <c r="E121" s="8" t="n"/>
      <c r="F121" s="8">
        <f>IF(A124="","",SUMIFS(Operatsiyalar!$I:$I,Operatsiyalar!$C:$C,A124,Operatsiyalar!$E:$E,"kirim"))</f>
        <v/>
      </c>
      <c r="G121" s="8">
        <f>IF(A124="","",SUMIFS(Operatsiyalar!$J:$J,Operatsiyalar!$C:$C,A124,Operatsiyalar!$E:$E,"kirim"))</f>
        <v/>
      </c>
      <c r="H121" s="8">
        <f>IF(A124="","",SUMIFS(Operatsiyalar!$I:$I,Operatsiyalar!$C:$C,A124,Operatsiyalar!$E:$E,"chiqim"))</f>
        <v/>
      </c>
      <c r="I121" s="8">
        <f>IF(A124="","",SUMIFS(Operatsiyalar!$J:$J,Operatsiyalar!$C:$C,A124,Operatsiyalar!$E:$E,"chiqim"))</f>
        <v/>
      </c>
      <c r="J121" s="8">
        <f>IF(A124="","",D124+H124-F124)</f>
        <v/>
      </c>
      <c r="K121" s="8">
        <f>IF(A124="","",E124+I124-G124)</f>
        <v/>
      </c>
    </row>
    <row r="122">
      <c r="A122" s="5" t="n"/>
      <c r="B122" s="5" t="n"/>
      <c r="C122" s="6" t="n"/>
      <c r="D122" s="8" t="n"/>
      <c r="E122" s="8" t="n"/>
      <c r="F122" s="8">
        <f>IF(A125="","",SUMIFS(Operatsiyalar!$I:$I,Operatsiyalar!$C:$C,A125,Operatsiyalar!$E:$E,"kirim"))</f>
        <v/>
      </c>
      <c r="G122" s="8">
        <f>IF(A125="","",SUMIFS(Operatsiyalar!$J:$J,Operatsiyalar!$C:$C,A125,Operatsiyalar!$E:$E,"kirim"))</f>
        <v/>
      </c>
      <c r="H122" s="8">
        <f>IF(A125="","",SUMIFS(Operatsiyalar!$I:$I,Operatsiyalar!$C:$C,A125,Operatsiyalar!$E:$E,"chiqim"))</f>
        <v/>
      </c>
      <c r="I122" s="8">
        <f>IF(A125="","",SUMIFS(Operatsiyalar!$J:$J,Operatsiyalar!$C:$C,A125,Operatsiyalar!$E:$E,"chiqim"))</f>
        <v/>
      </c>
      <c r="J122" s="8">
        <f>IF(A125="","",D125+H125-F125)</f>
        <v/>
      </c>
      <c r="K122" s="8">
        <f>IF(A125="","",E125+I125-G125)</f>
        <v/>
      </c>
    </row>
    <row r="123">
      <c r="A123" s="5" t="n"/>
      <c r="B123" s="5" t="n"/>
      <c r="C123" s="6" t="n"/>
      <c r="D123" s="8" t="n"/>
      <c r="E123" s="8" t="n"/>
      <c r="F123" s="8">
        <f>IF(A126="","",SUMIFS(Operatsiyalar!$I:$I,Operatsiyalar!$C:$C,A126,Operatsiyalar!$E:$E,"kirim"))</f>
        <v/>
      </c>
      <c r="G123" s="8">
        <f>IF(A126="","",SUMIFS(Operatsiyalar!$J:$J,Operatsiyalar!$C:$C,A126,Operatsiyalar!$E:$E,"kirim"))</f>
        <v/>
      </c>
      <c r="H123" s="8">
        <f>IF(A126="","",SUMIFS(Operatsiyalar!$I:$I,Operatsiyalar!$C:$C,A126,Operatsiyalar!$E:$E,"chiqim"))</f>
        <v/>
      </c>
      <c r="I123" s="8">
        <f>IF(A126="","",SUMIFS(Operatsiyalar!$J:$J,Operatsiyalar!$C:$C,A126,Operatsiyalar!$E:$E,"chiqim"))</f>
        <v/>
      </c>
      <c r="J123" s="8">
        <f>IF(A126="","",D126+H126-F126)</f>
        <v/>
      </c>
      <c r="K123" s="8">
        <f>IF(A126="","",E126+I126-G126)</f>
        <v/>
      </c>
    </row>
    <row r="124">
      <c r="A124" s="5" t="n"/>
      <c r="B124" s="5" t="n"/>
      <c r="C124" s="6" t="n"/>
      <c r="D124" s="8" t="n"/>
      <c r="E124" s="8" t="n"/>
      <c r="F124" s="8">
        <f>IF(A127="","",SUMIFS(Operatsiyalar!$I:$I,Operatsiyalar!$C:$C,A127,Operatsiyalar!$E:$E,"kirim"))</f>
        <v/>
      </c>
      <c r="G124" s="8">
        <f>IF(A127="","",SUMIFS(Operatsiyalar!$J:$J,Operatsiyalar!$C:$C,A127,Operatsiyalar!$E:$E,"kirim"))</f>
        <v/>
      </c>
      <c r="H124" s="8">
        <f>IF(A127="","",SUMIFS(Operatsiyalar!$I:$I,Operatsiyalar!$C:$C,A127,Operatsiyalar!$E:$E,"chiqim"))</f>
        <v/>
      </c>
      <c r="I124" s="8">
        <f>IF(A127="","",SUMIFS(Operatsiyalar!$J:$J,Operatsiyalar!$C:$C,A127,Operatsiyalar!$E:$E,"chiqim"))</f>
        <v/>
      </c>
      <c r="J124" s="8">
        <f>IF(A127="","",D127+H127-F127)</f>
        <v/>
      </c>
      <c r="K124" s="8">
        <f>IF(A127="","",E127+I127-G127)</f>
        <v/>
      </c>
    </row>
    <row r="125">
      <c r="A125" s="5" t="n"/>
      <c r="B125" s="5" t="n"/>
      <c r="C125" s="6" t="n"/>
      <c r="D125" s="8" t="n"/>
      <c r="E125" s="8" t="n"/>
      <c r="F125" s="8">
        <f>IF(A128="","",SUMIFS(Operatsiyalar!$I:$I,Operatsiyalar!$C:$C,A128,Operatsiyalar!$E:$E,"kirim"))</f>
        <v/>
      </c>
      <c r="G125" s="8">
        <f>IF(A128="","",SUMIFS(Operatsiyalar!$J:$J,Operatsiyalar!$C:$C,A128,Operatsiyalar!$E:$E,"kirim"))</f>
        <v/>
      </c>
      <c r="H125" s="8">
        <f>IF(A128="","",SUMIFS(Operatsiyalar!$I:$I,Operatsiyalar!$C:$C,A128,Operatsiyalar!$E:$E,"chiqim"))</f>
        <v/>
      </c>
      <c r="I125" s="8">
        <f>IF(A128="","",SUMIFS(Operatsiyalar!$J:$J,Operatsiyalar!$C:$C,A128,Operatsiyalar!$E:$E,"chiqim"))</f>
        <v/>
      </c>
      <c r="J125" s="8">
        <f>IF(A128="","",D128+H128-F128)</f>
        <v/>
      </c>
      <c r="K125" s="8">
        <f>IF(A128="","",E128+I128-G128)</f>
        <v/>
      </c>
    </row>
    <row r="126">
      <c r="A126" s="5" t="n"/>
      <c r="B126" s="5" t="n"/>
      <c r="C126" s="6" t="n"/>
      <c r="D126" s="8" t="n"/>
      <c r="E126" s="8" t="n"/>
      <c r="F126" s="8">
        <f>IF(A129="","",SUMIFS(Operatsiyalar!$I:$I,Operatsiyalar!$C:$C,A129,Operatsiyalar!$E:$E,"kirim"))</f>
        <v/>
      </c>
      <c r="G126" s="8">
        <f>IF(A129="","",SUMIFS(Operatsiyalar!$J:$J,Operatsiyalar!$C:$C,A129,Operatsiyalar!$E:$E,"kirim"))</f>
        <v/>
      </c>
      <c r="H126" s="8">
        <f>IF(A129="","",SUMIFS(Operatsiyalar!$I:$I,Operatsiyalar!$C:$C,A129,Operatsiyalar!$E:$E,"chiqim"))</f>
        <v/>
      </c>
      <c r="I126" s="8">
        <f>IF(A129="","",SUMIFS(Operatsiyalar!$J:$J,Operatsiyalar!$C:$C,A129,Operatsiyalar!$E:$E,"chiqim"))</f>
        <v/>
      </c>
      <c r="J126" s="8">
        <f>IF(A129="","",D129+H129-F129)</f>
        <v/>
      </c>
      <c r="K126" s="8">
        <f>IF(A129="","",E129+I129-G129)</f>
        <v/>
      </c>
    </row>
    <row r="127">
      <c r="A127" s="5" t="n"/>
      <c r="B127" s="5" t="n"/>
      <c r="C127" s="6" t="n"/>
      <c r="D127" s="8" t="n"/>
      <c r="E127" s="8" t="n"/>
      <c r="F127" s="8">
        <f>IF(A130="","",SUMIFS(Operatsiyalar!$I:$I,Operatsiyalar!$C:$C,A130,Operatsiyalar!$E:$E,"kirim"))</f>
        <v/>
      </c>
      <c r="G127" s="8">
        <f>IF(A130="","",SUMIFS(Operatsiyalar!$J:$J,Operatsiyalar!$C:$C,A130,Operatsiyalar!$E:$E,"kirim"))</f>
        <v/>
      </c>
      <c r="H127" s="8">
        <f>IF(A130="","",SUMIFS(Operatsiyalar!$I:$I,Operatsiyalar!$C:$C,A130,Operatsiyalar!$E:$E,"chiqim"))</f>
        <v/>
      </c>
      <c r="I127" s="8">
        <f>IF(A130="","",SUMIFS(Operatsiyalar!$J:$J,Operatsiyalar!$C:$C,A130,Operatsiyalar!$E:$E,"chiqim"))</f>
        <v/>
      </c>
      <c r="J127" s="8">
        <f>IF(A130="","",D130+H130-F130)</f>
        <v/>
      </c>
      <c r="K127" s="8">
        <f>IF(A130="","",E130+I130-G130)</f>
        <v/>
      </c>
    </row>
    <row r="128">
      <c r="A128" s="5" t="n"/>
      <c r="B128" s="5" t="n"/>
      <c r="C128" s="6" t="n"/>
      <c r="D128" s="8" t="n"/>
      <c r="E128" s="8" t="n"/>
      <c r="F128" s="8">
        <f>IF(A131="","",SUMIFS(Operatsiyalar!$I:$I,Operatsiyalar!$C:$C,A131,Operatsiyalar!$E:$E,"kirim"))</f>
        <v/>
      </c>
      <c r="G128" s="8">
        <f>IF(A131="","",SUMIFS(Operatsiyalar!$J:$J,Operatsiyalar!$C:$C,A131,Operatsiyalar!$E:$E,"kirim"))</f>
        <v/>
      </c>
      <c r="H128" s="8">
        <f>IF(A131="","",SUMIFS(Operatsiyalar!$I:$I,Operatsiyalar!$C:$C,A131,Operatsiyalar!$E:$E,"chiqim"))</f>
        <v/>
      </c>
      <c r="I128" s="8">
        <f>IF(A131="","",SUMIFS(Operatsiyalar!$J:$J,Operatsiyalar!$C:$C,A131,Operatsiyalar!$E:$E,"chiqim"))</f>
        <v/>
      </c>
      <c r="J128" s="8">
        <f>IF(A131="","",D131+H131-F131)</f>
        <v/>
      </c>
      <c r="K128" s="8">
        <f>IF(A131="","",E131+I131-G131)</f>
        <v/>
      </c>
    </row>
    <row r="129">
      <c r="A129" s="5" t="n"/>
      <c r="B129" s="5" t="n"/>
      <c r="C129" s="6" t="n"/>
      <c r="D129" s="8" t="n"/>
      <c r="E129" s="8" t="n"/>
      <c r="F129" s="8">
        <f>IF(A132="","",SUMIFS(Operatsiyalar!$I:$I,Operatsiyalar!$C:$C,A132,Operatsiyalar!$E:$E,"kirim"))</f>
        <v/>
      </c>
      <c r="G129" s="8">
        <f>IF(A132="","",SUMIFS(Operatsiyalar!$J:$J,Operatsiyalar!$C:$C,A132,Operatsiyalar!$E:$E,"kirim"))</f>
        <v/>
      </c>
      <c r="H129" s="8">
        <f>IF(A132="","",SUMIFS(Operatsiyalar!$I:$I,Operatsiyalar!$C:$C,A132,Operatsiyalar!$E:$E,"chiqim"))</f>
        <v/>
      </c>
      <c r="I129" s="8">
        <f>IF(A132="","",SUMIFS(Operatsiyalar!$J:$J,Operatsiyalar!$C:$C,A132,Operatsiyalar!$E:$E,"chiqim"))</f>
        <v/>
      </c>
      <c r="J129" s="8">
        <f>IF(A132="","",D132+H132-F132)</f>
        <v/>
      </c>
      <c r="K129" s="8">
        <f>IF(A132="","",E132+I132-G132)</f>
        <v/>
      </c>
    </row>
    <row r="130">
      <c r="A130" s="5" t="n"/>
      <c r="B130" s="5" t="n"/>
      <c r="C130" s="6" t="n"/>
      <c r="D130" s="8" t="n"/>
      <c r="E130" s="8" t="n"/>
      <c r="F130" s="8">
        <f>IF(A133="","",SUMIFS(Operatsiyalar!$I:$I,Operatsiyalar!$C:$C,A133,Operatsiyalar!$E:$E,"kirim"))</f>
        <v/>
      </c>
      <c r="G130" s="8">
        <f>IF(A133="","",SUMIFS(Operatsiyalar!$J:$J,Operatsiyalar!$C:$C,A133,Operatsiyalar!$E:$E,"kirim"))</f>
        <v/>
      </c>
      <c r="H130" s="8">
        <f>IF(A133="","",SUMIFS(Operatsiyalar!$I:$I,Operatsiyalar!$C:$C,A133,Operatsiyalar!$E:$E,"chiqim"))</f>
        <v/>
      </c>
      <c r="I130" s="8">
        <f>IF(A133="","",SUMIFS(Operatsiyalar!$J:$J,Operatsiyalar!$C:$C,A133,Operatsiyalar!$E:$E,"chiqim"))</f>
        <v/>
      </c>
      <c r="J130" s="8">
        <f>IF(A133="","",D133+H133-F133)</f>
        <v/>
      </c>
      <c r="K130" s="8">
        <f>IF(A133="","",E133+I133-G133)</f>
        <v/>
      </c>
    </row>
    <row r="131">
      <c r="A131" s="5" t="n"/>
      <c r="B131" s="5" t="n"/>
      <c r="C131" s="6" t="n"/>
      <c r="D131" s="8" t="n"/>
      <c r="E131" s="8" t="n"/>
      <c r="F131" s="8">
        <f>IF(A134="","",SUMIFS(Operatsiyalar!$I:$I,Operatsiyalar!$C:$C,A134,Operatsiyalar!$E:$E,"kirim"))</f>
        <v/>
      </c>
      <c r="G131" s="8">
        <f>IF(A134="","",SUMIFS(Operatsiyalar!$J:$J,Operatsiyalar!$C:$C,A134,Operatsiyalar!$E:$E,"kirim"))</f>
        <v/>
      </c>
      <c r="H131" s="8">
        <f>IF(A134="","",SUMIFS(Operatsiyalar!$I:$I,Operatsiyalar!$C:$C,A134,Operatsiyalar!$E:$E,"chiqim"))</f>
        <v/>
      </c>
      <c r="I131" s="8">
        <f>IF(A134="","",SUMIFS(Operatsiyalar!$J:$J,Operatsiyalar!$C:$C,A134,Operatsiyalar!$E:$E,"chiqim"))</f>
        <v/>
      </c>
      <c r="J131" s="8">
        <f>IF(A134="","",D134+H134-F134)</f>
        <v/>
      </c>
      <c r="K131" s="8">
        <f>IF(A134="","",E134+I134-G134)</f>
        <v/>
      </c>
    </row>
    <row r="132">
      <c r="A132" s="5" t="n"/>
      <c r="B132" s="5" t="n"/>
      <c r="C132" s="6" t="n"/>
      <c r="D132" s="8" t="n"/>
      <c r="E132" s="8" t="n"/>
      <c r="F132" s="8">
        <f>IF(A135="","",SUMIFS(Operatsiyalar!$I:$I,Operatsiyalar!$C:$C,A135,Operatsiyalar!$E:$E,"kirim"))</f>
        <v/>
      </c>
      <c r="G132" s="8">
        <f>IF(A135="","",SUMIFS(Operatsiyalar!$J:$J,Operatsiyalar!$C:$C,A135,Operatsiyalar!$E:$E,"kirim"))</f>
        <v/>
      </c>
      <c r="H132" s="8">
        <f>IF(A135="","",SUMIFS(Operatsiyalar!$I:$I,Operatsiyalar!$C:$C,A135,Operatsiyalar!$E:$E,"chiqim"))</f>
        <v/>
      </c>
      <c r="I132" s="8">
        <f>IF(A135="","",SUMIFS(Operatsiyalar!$J:$J,Operatsiyalar!$C:$C,A135,Operatsiyalar!$E:$E,"chiqim"))</f>
        <v/>
      </c>
      <c r="J132" s="8">
        <f>IF(A135="","",D135+H135-F135)</f>
        <v/>
      </c>
      <c r="K132" s="8">
        <f>IF(A135="","",E135+I135-G135)</f>
        <v/>
      </c>
    </row>
    <row r="133">
      <c r="A133" s="5" t="n"/>
      <c r="B133" s="5" t="n"/>
      <c r="C133" s="6" t="n"/>
      <c r="D133" s="8" t="n"/>
      <c r="E133" s="8" t="n"/>
      <c r="F133" s="8">
        <f>IF(A136="","",SUMIFS(Operatsiyalar!$I:$I,Operatsiyalar!$C:$C,A136,Operatsiyalar!$E:$E,"kirim"))</f>
        <v/>
      </c>
      <c r="G133" s="8">
        <f>IF(A136="","",SUMIFS(Operatsiyalar!$J:$J,Operatsiyalar!$C:$C,A136,Operatsiyalar!$E:$E,"kirim"))</f>
        <v/>
      </c>
      <c r="H133" s="8">
        <f>IF(A136="","",SUMIFS(Operatsiyalar!$I:$I,Operatsiyalar!$C:$C,A136,Operatsiyalar!$E:$E,"chiqim"))</f>
        <v/>
      </c>
      <c r="I133" s="8">
        <f>IF(A136="","",SUMIFS(Operatsiyalar!$J:$J,Operatsiyalar!$C:$C,A136,Operatsiyalar!$E:$E,"chiqim"))</f>
        <v/>
      </c>
      <c r="J133" s="8">
        <f>IF(A136="","",D136+H136-F136)</f>
        <v/>
      </c>
      <c r="K133" s="8">
        <f>IF(A136="","",E136+I136-G136)</f>
        <v/>
      </c>
    </row>
    <row r="134">
      <c r="A134" s="5" t="n"/>
      <c r="B134" s="5" t="n"/>
      <c r="C134" s="6" t="n"/>
      <c r="D134" s="8" t="n"/>
      <c r="E134" s="8" t="n"/>
      <c r="F134" s="8">
        <f>IF(A137="","",SUMIFS(Operatsiyalar!$I:$I,Operatsiyalar!$C:$C,A137,Operatsiyalar!$E:$E,"kirim"))</f>
        <v/>
      </c>
      <c r="G134" s="8">
        <f>IF(A137="","",SUMIFS(Operatsiyalar!$J:$J,Operatsiyalar!$C:$C,A137,Operatsiyalar!$E:$E,"kirim"))</f>
        <v/>
      </c>
      <c r="H134" s="8">
        <f>IF(A137="","",SUMIFS(Operatsiyalar!$I:$I,Operatsiyalar!$C:$C,A137,Operatsiyalar!$E:$E,"chiqim"))</f>
        <v/>
      </c>
      <c r="I134" s="8">
        <f>IF(A137="","",SUMIFS(Operatsiyalar!$J:$J,Operatsiyalar!$C:$C,A137,Operatsiyalar!$E:$E,"chiqim"))</f>
        <v/>
      </c>
      <c r="J134" s="8">
        <f>IF(A137="","",D137+H137-F137)</f>
        <v/>
      </c>
      <c r="K134" s="8">
        <f>IF(A137="","",E137+I137-G137)</f>
        <v/>
      </c>
    </row>
    <row r="135">
      <c r="A135" s="5" t="n"/>
      <c r="B135" s="5" t="n"/>
      <c r="C135" s="6" t="n"/>
      <c r="D135" s="8" t="n"/>
      <c r="E135" s="8" t="n"/>
      <c r="F135" s="8">
        <f>IF(A138="","",SUMIFS(Operatsiyalar!$I:$I,Operatsiyalar!$C:$C,A138,Operatsiyalar!$E:$E,"kirim"))</f>
        <v/>
      </c>
      <c r="G135" s="8">
        <f>IF(A138="","",SUMIFS(Operatsiyalar!$J:$J,Operatsiyalar!$C:$C,A138,Operatsiyalar!$E:$E,"kirim"))</f>
        <v/>
      </c>
      <c r="H135" s="8">
        <f>IF(A138="","",SUMIFS(Operatsiyalar!$I:$I,Operatsiyalar!$C:$C,A138,Operatsiyalar!$E:$E,"chiqim"))</f>
        <v/>
      </c>
      <c r="I135" s="8">
        <f>IF(A138="","",SUMIFS(Operatsiyalar!$J:$J,Operatsiyalar!$C:$C,A138,Operatsiyalar!$E:$E,"chiqim"))</f>
        <v/>
      </c>
      <c r="J135" s="8">
        <f>IF(A138="","",D138+H138-F138)</f>
        <v/>
      </c>
      <c r="K135" s="8">
        <f>IF(A138="","",E138+I138-G138)</f>
        <v/>
      </c>
    </row>
    <row r="136">
      <c r="A136" s="5" t="n"/>
      <c r="B136" s="5" t="n"/>
      <c r="C136" s="6" t="n"/>
      <c r="D136" s="8" t="n"/>
      <c r="E136" s="8" t="n"/>
      <c r="F136" s="8">
        <f>IF(A139="","",SUMIFS(Operatsiyalar!$I:$I,Operatsiyalar!$C:$C,A139,Operatsiyalar!$E:$E,"kirim"))</f>
        <v/>
      </c>
      <c r="G136" s="8">
        <f>IF(A139="","",SUMIFS(Operatsiyalar!$J:$J,Operatsiyalar!$C:$C,A139,Operatsiyalar!$E:$E,"kirim"))</f>
        <v/>
      </c>
      <c r="H136" s="8">
        <f>IF(A139="","",SUMIFS(Operatsiyalar!$I:$I,Operatsiyalar!$C:$C,A139,Operatsiyalar!$E:$E,"chiqim"))</f>
        <v/>
      </c>
      <c r="I136" s="8">
        <f>IF(A139="","",SUMIFS(Operatsiyalar!$J:$J,Operatsiyalar!$C:$C,A139,Operatsiyalar!$E:$E,"chiqim"))</f>
        <v/>
      </c>
      <c r="J136" s="8">
        <f>IF(A139="","",D139+H139-F139)</f>
        <v/>
      </c>
      <c r="K136" s="8">
        <f>IF(A139="","",E139+I139-G139)</f>
        <v/>
      </c>
    </row>
    <row r="137">
      <c r="A137" s="5" t="n"/>
      <c r="B137" s="5" t="n"/>
      <c r="C137" s="6" t="n"/>
      <c r="D137" s="8" t="n"/>
      <c r="E137" s="8" t="n"/>
      <c r="F137" s="8">
        <f>IF(A140="","",SUMIFS(Operatsiyalar!$I:$I,Operatsiyalar!$C:$C,A140,Operatsiyalar!$E:$E,"kirim"))</f>
        <v/>
      </c>
      <c r="G137" s="8">
        <f>IF(A140="","",SUMIFS(Operatsiyalar!$J:$J,Operatsiyalar!$C:$C,A140,Operatsiyalar!$E:$E,"kirim"))</f>
        <v/>
      </c>
      <c r="H137" s="8">
        <f>IF(A140="","",SUMIFS(Operatsiyalar!$I:$I,Operatsiyalar!$C:$C,A140,Operatsiyalar!$E:$E,"chiqim"))</f>
        <v/>
      </c>
      <c r="I137" s="8">
        <f>IF(A140="","",SUMIFS(Operatsiyalar!$J:$J,Operatsiyalar!$C:$C,A140,Operatsiyalar!$E:$E,"chiqim"))</f>
        <v/>
      </c>
      <c r="J137" s="8">
        <f>IF(A140="","",D140+H140-F140)</f>
        <v/>
      </c>
      <c r="K137" s="8">
        <f>IF(A140="","",E140+I140-G140)</f>
        <v/>
      </c>
    </row>
    <row r="138">
      <c r="A138" s="5" t="n"/>
      <c r="B138" s="5" t="n"/>
      <c r="C138" s="6" t="n"/>
      <c r="D138" s="8" t="n"/>
      <c r="E138" s="8" t="n"/>
      <c r="F138" s="8">
        <f>IF(A141="","",SUMIFS(Operatsiyalar!$I:$I,Operatsiyalar!$C:$C,A141,Operatsiyalar!$E:$E,"kirim"))</f>
        <v/>
      </c>
      <c r="G138" s="8">
        <f>IF(A141="","",SUMIFS(Operatsiyalar!$J:$J,Operatsiyalar!$C:$C,A141,Operatsiyalar!$E:$E,"kirim"))</f>
        <v/>
      </c>
      <c r="H138" s="8">
        <f>IF(A141="","",SUMIFS(Operatsiyalar!$I:$I,Operatsiyalar!$C:$C,A141,Operatsiyalar!$E:$E,"chiqim"))</f>
        <v/>
      </c>
      <c r="I138" s="8">
        <f>IF(A141="","",SUMIFS(Operatsiyalar!$J:$J,Operatsiyalar!$C:$C,A141,Operatsiyalar!$E:$E,"chiqim"))</f>
        <v/>
      </c>
      <c r="J138" s="8">
        <f>IF(A141="","",D141+H141-F141)</f>
        <v/>
      </c>
      <c r="K138" s="8">
        <f>IF(A141="","",E141+I141-G141)</f>
        <v/>
      </c>
    </row>
    <row r="139">
      <c r="A139" s="5" t="n"/>
      <c r="B139" s="5" t="n"/>
      <c r="C139" s="6" t="n"/>
      <c r="D139" s="8" t="n"/>
      <c r="E139" s="8" t="n"/>
      <c r="F139" s="8">
        <f>IF(A142="","",SUMIFS(Operatsiyalar!$I:$I,Operatsiyalar!$C:$C,A142,Operatsiyalar!$E:$E,"kirim"))</f>
        <v/>
      </c>
      <c r="G139" s="8">
        <f>IF(A142="","",SUMIFS(Operatsiyalar!$J:$J,Operatsiyalar!$C:$C,A142,Operatsiyalar!$E:$E,"kirim"))</f>
        <v/>
      </c>
      <c r="H139" s="8">
        <f>IF(A142="","",SUMIFS(Operatsiyalar!$I:$I,Operatsiyalar!$C:$C,A142,Operatsiyalar!$E:$E,"chiqim"))</f>
        <v/>
      </c>
      <c r="I139" s="8">
        <f>IF(A142="","",SUMIFS(Operatsiyalar!$J:$J,Operatsiyalar!$C:$C,A142,Operatsiyalar!$E:$E,"chiqim"))</f>
        <v/>
      </c>
      <c r="J139" s="8">
        <f>IF(A142="","",D142+H142-F142)</f>
        <v/>
      </c>
      <c r="K139" s="8">
        <f>IF(A142="","",E142+I142-G142)</f>
        <v/>
      </c>
    </row>
    <row r="140">
      <c r="A140" s="5" t="n"/>
      <c r="B140" s="5" t="n"/>
      <c r="C140" s="6" t="n"/>
      <c r="D140" s="8" t="n"/>
      <c r="E140" s="8" t="n"/>
      <c r="F140" s="8">
        <f>IF(A143="","",SUMIFS(Operatsiyalar!$I:$I,Operatsiyalar!$C:$C,A143,Operatsiyalar!$E:$E,"kirim"))</f>
        <v/>
      </c>
      <c r="G140" s="8">
        <f>IF(A143="","",SUMIFS(Operatsiyalar!$J:$J,Operatsiyalar!$C:$C,A143,Operatsiyalar!$E:$E,"kirim"))</f>
        <v/>
      </c>
      <c r="H140" s="8">
        <f>IF(A143="","",SUMIFS(Operatsiyalar!$I:$I,Operatsiyalar!$C:$C,A143,Operatsiyalar!$E:$E,"chiqim"))</f>
        <v/>
      </c>
      <c r="I140" s="8">
        <f>IF(A143="","",SUMIFS(Operatsiyalar!$J:$J,Operatsiyalar!$C:$C,A143,Operatsiyalar!$E:$E,"chiqim"))</f>
        <v/>
      </c>
      <c r="J140" s="8">
        <f>IF(A143="","",D143+H143-F143)</f>
        <v/>
      </c>
      <c r="K140" s="8">
        <f>IF(A143="","",E143+I143-G143)</f>
        <v/>
      </c>
    </row>
    <row r="141">
      <c r="A141" s="5" t="n"/>
      <c r="B141" s="5" t="n"/>
      <c r="C141" s="6" t="n"/>
      <c r="D141" s="8" t="n"/>
      <c r="E141" s="8" t="n"/>
      <c r="F141" s="8">
        <f>IF(A144="","",SUMIFS(Operatsiyalar!$I:$I,Operatsiyalar!$C:$C,A144,Operatsiyalar!$E:$E,"kirim"))</f>
        <v/>
      </c>
      <c r="G141" s="8">
        <f>IF(A144="","",SUMIFS(Operatsiyalar!$J:$J,Operatsiyalar!$C:$C,A144,Operatsiyalar!$E:$E,"kirim"))</f>
        <v/>
      </c>
      <c r="H141" s="8">
        <f>IF(A144="","",SUMIFS(Operatsiyalar!$I:$I,Operatsiyalar!$C:$C,A144,Operatsiyalar!$E:$E,"chiqim"))</f>
        <v/>
      </c>
      <c r="I141" s="8">
        <f>IF(A144="","",SUMIFS(Operatsiyalar!$J:$J,Operatsiyalar!$C:$C,A144,Operatsiyalar!$E:$E,"chiqim"))</f>
        <v/>
      </c>
      <c r="J141" s="8">
        <f>IF(A144="","",D144+H144-F144)</f>
        <v/>
      </c>
      <c r="K141" s="8">
        <f>IF(A144="","",E144+I144-G144)</f>
        <v/>
      </c>
    </row>
    <row r="142">
      <c r="A142" s="5" t="n"/>
      <c r="B142" s="5" t="n"/>
      <c r="C142" s="6" t="n"/>
      <c r="D142" s="8" t="n"/>
      <c r="E142" s="8" t="n"/>
      <c r="F142" s="8">
        <f>IF(A145="","",SUMIFS(Operatsiyalar!$I:$I,Operatsiyalar!$C:$C,A145,Operatsiyalar!$E:$E,"kirim"))</f>
        <v/>
      </c>
      <c r="G142" s="8">
        <f>IF(A145="","",SUMIFS(Operatsiyalar!$J:$J,Operatsiyalar!$C:$C,A145,Operatsiyalar!$E:$E,"kirim"))</f>
        <v/>
      </c>
      <c r="H142" s="8">
        <f>IF(A145="","",SUMIFS(Operatsiyalar!$I:$I,Operatsiyalar!$C:$C,A145,Operatsiyalar!$E:$E,"chiqim"))</f>
        <v/>
      </c>
      <c r="I142" s="8">
        <f>IF(A145="","",SUMIFS(Operatsiyalar!$J:$J,Operatsiyalar!$C:$C,A145,Operatsiyalar!$E:$E,"chiqim"))</f>
        <v/>
      </c>
      <c r="J142" s="8">
        <f>IF(A145="","",D145+H145-F145)</f>
        <v/>
      </c>
      <c r="K142" s="8">
        <f>IF(A145="","",E145+I145-G145)</f>
        <v/>
      </c>
    </row>
    <row r="143">
      <c r="A143" s="5" t="n"/>
      <c r="B143" s="5" t="n"/>
      <c r="C143" s="6" t="n"/>
      <c r="D143" s="8" t="n"/>
      <c r="E143" s="8" t="n"/>
      <c r="F143" s="8">
        <f>IF(A146="","",SUMIFS(Operatsiyalar!$I:$I,Operatsiyalar!$C:$C,A146,Operatsiyalar!$E:$E,"kirim"))</f>
        <v/>
      </c>
      <c r="G143" s="8">
        <f>IF(A146="","",SUMIFS(Operatsiyalar!$J:$J,Operatsiyalar!$C:$C,A146,Operatsiyalar!$E:$E,"kirim"))</f>
        <v/>
      </c>
      <c r="H143" s="8">
        <f>IF(A146="","",SUMIFS(Operatsiyalar!$I:$I,Operatsiyalar!$C:$C,A146,Operatsiyalar!$E:$E,"chiqim"))</f>
        <v/>
      </c>
      <c r="I143" s="8">
        <f>IF(A146="","",SUMIFS(Operatsiyalar!$J:$J,Operatsiyalar!$C:$C,A146,Operatsiyalar!$E:$E,"chiqim"))</f>
        <v/>
      </c>
      <c r="J143" s="8">
        <f>IF(A146="","",D146+H146-F146)</f>
        <v/>
      </c>
      <c r="K143" s="8">
        <f>IF(A146="","",E146+I146-G146)</f>
        <v/>
      </c>
    </row>
    <row r="144">
      <c r="A144" s="5" t="n"/>
      <c r="B144" s="5" t="n"/>
      <c r="C144" s="6" t="n"/>
      <c r="D144" s="8" t="n"/>
      <c r="E144" s="8" t="n"/>
      <c r="F144" s="8">
        <f>IF(A147="","",SUMIFS(Operatsiyalar!$I:$I,Operatsiyalar!$C:$C,A147,Operatsiyalar!$E:$E,"kirim"))</f>
        <v/>
      </c>
      <c r="G144" s="8">
        <f>IF(A147="","",SUMIFS(Operatsiyalar!$J:$J,Operatsiyalar!$C:$C,A147,Operatsiyalar!$E:$E,"kirim"))</f>
        <v/>
      </c>
      <c r="H144" s="8">
        <f>IF(A147="","",SUMIFS(Operatsiyalar!$I:$I,Operatsiyalar!$C:$C,A147,Operatsiyalar!$E:$E,"chiqim"))</f>
        <v/>
      </c>
      <c r="I144" s="8">
        <f>IF(A147="","",SUMIFS(Operatsiyalar!$J:$J,Operatsiyalar!$C:$C,A147,Operatsiyalar!$E:$E,"chiqim"))</f>
        <v/>
      </c>
      <c r="J144" s="8">
        <f>IF(A147="","",D147+H147-F147)</f>
        <v/>
      </c>
      <c r="K144" s="8">
        <f>IF(A147="","",E147+I147-G147)</f>
        <v/>
      </c>
    </row>
    <row r="145">
      <c r="A145" s="5" t="n"/>
      <c r="B145" s="5" t="n"/>
      <c r="C145" s="6" t="n"/>
      <c r="D145" s="8" t="n"/>
      <c r="E145" s="8" t="n"/>
      <c r="F145" s="8">
        <f>IF(A148="","",SUMIFS(Operatsiyalar!$I:$I,Operatsiyalar!$C:$C,A148,Operatsiyalar!$E:$E,"kirim"))</f>
        <v/>
      </c>
      <c r="G145" s="8">
        <f>IF(A148="","",SUMIFS(Operatsiyalar!$J:$J,Operatsiyalar!$C:$C,A148,Operatsiyalar!$E:$E,"kirim"))</f>
        <v/>
      </c>
      <c r="H145" s="8">
        <f>IF(A148="","",SUMIFS(Operatsiyalar!$I:$I,Operatsiyalar!$C:$C,A148,Operatsiyalar!$E:$E,"chiqim"))</f>
        <v/>
      </c>
      <c r="I145" s="8">
        <f>IF(A148="","",SUMIFS(Operatsiyalar!$J:$J,Operatsiyalar!$C:$C,A148,Operatsiyalar!$E:$E,"chiqim"))</f>
        <v/>
      </c>
      <c r="J145" s="8">
        <f>IF(A148="","",D148+H148-F148)</f>
        <v/>
      </c>
      <c r="K145" s="8">
        <f>IF(A148="","",E148+I148-G148)</f>
        <v/>
      </c>
    </row>
    <row r="146">
      <c r="A146" s="5" t="n"/>
      <c r="B146" s="5" t="n"/>
      <c r="C146" s="6" t="n"/>
      <c r="D146" s="8" t="n"/>
      <c r="E146" s="8" t="n"/>
      <c r="F146" s="8">
        <f>IF(A149="","",SUMIFS(Operatsiyalar!$I:$I,Operatsiyalar!$C:$C,A149,Operatsiyalar!$E:$E,"kirim"))</f>
        <v/>
      </c>
      <c r="G146" s="8">
        <f>IF(A149="","",SUMIFS(Operatsiyalar!$J:$J,Operatsiyalar!$C:$C,A149,Operatsiyalar!$E:$E,"kirim"))</f>
        <v/>
      </c>
      <c r="H146" s="8">
        <f>IF(A149="","",SUMIFS(Operatsiyalar!$I:$I,Operatsiyalar!$C:$C,A149,Operatsiyalar!$E:$E,"chiqim"))</f>
        <v/>
      </c>
      <c r="I146" s="8">
        <f>IF(A149="","",SUMIFS(Operatsiyalar!$J:$J,Operatsiyalar!$C:$C,A149,Operatsiyalar!$E:$E,"chiqim"))</f>
        <v/>
      </c>
      <c r="J146" s="8">
        <f>IF(A149="","",D149+H149-F149)</f>
        <v/>
      </c>
      <c r="K146" s="8">
        <f>IF(A149="","",E149+I149-G149)</f>
        <v/>
      </c>
    </row>
    <row r="147">
      <c r="A147" s="5" t="n"/>
      <c r="B147" s="5" t="n"/>
      <c r="C147" s="6" t="n"/>
      <c r="D147" s="8" t="n"/>
      <c r="E147" s="8" t="n"/>
      <c r="F147" s="8">
        <f>IF(A150="","",SUMIFS(Operatsiyalar!$I:$I,Operatsiyalar!$C:$C,A150,Operatsiyalar!$E:$E,"kirim"))</f>
        <v/>
      </c>
      <c r="G147" s="8">
        <f>IF(A150="","",SUMIFS(Operatsiyalar!$J:$J,Operatsiyalar!$C:$C,A150,Operatsiyalar!$E:$E,"kirim"))</f>
        <v/>
      </c>
      <c r="H147" s="8">
        <f>IF(A150="","",SUMIFS(Operatsiyalar!$I:$I,Operatsiyalar!$C:$C,A150,Operatsiyalar!$E:$E,"chiqim"))</f>
        <v/>
      </c>
      <c r="I147" s="8">
        <f>IF(A150="","",SUMIFS(Operatsiyalar!$J:$J,Operatsiyalar!$C:$C,A150,Operatsiyalar!$E:$E,"chiqim"))</f>
        <v/>
      </c>
      <c r="J147" s="8">
        <f>IF(A150="","",D150+H150-F150)</f>
        <v/>
      </c>
      <c r="K147" s="8">
        <f>IF(A150="","",E150+I150-G150)</f>
        <v/>
      </c>
    </row>
    <row r="148">
      <c r="A148" s="5" t="n"/>
      <c r="B148" s="5" t="n"/>
      <c r="C148" s="6" t="n"/>
      <c r="D148" s="8" t="n"/>
      <c r="E148" s="8" t="n"/>
      <c r="F148" s="8">
        <f>IF(A151="","",SUMIFS(Operatsiyalar!$I:$I,Operatsiyalar!$C:$C,A151,Operatsiyalar!$E:$E,"kirim"))</f>
        <v/>
      </c>
      <c r="G148" s="8">
        <f>IF(A151="","",SUMIFS(Operatsiyalar!$J:$J,Operatsiyalar!$C:$C,A151,Operatsiyalar!$E:$E,"kirim"))</f>
        <v/>
      </c>
      <c r="H148" s="8">
        <f>IF(A151="","",SUMIFS(Operatsiyalar!$I:$I,Operatsiyalar!$C:$C,A151,Operatsiyalar!$E:$E,"chiqim"))</f>
        <v/>
      </c>
      <c r="I148" s="8">
        <f>IF(A151="","",SUMIFS(Operatsiyalar!$J:$J,Operatsiyalar!$C:$C,A151,Operatsiyalar!$E:$E,"chiqim"))</f>
        <v/>
      </c>
      <c r="J148" s="8">
        <f>IF(A151="","",D151+H151-F151)</f>
        <v/>
      </c>
      <c r="K148" s="8">
        <f>IF(A151="","",E151+I151-G151)</f>
        <v/>
      </c>
    </row>
    <row r="149">
      <c r="A149" s="5" t="n"/>
      <c r="B149" s="5" t="n"/>
      <c r="C149" s="6" t="n"/>
      <c r="D149" s="8" t="n"/>
      <c r="E149" s="8" t="n"/>
      <c r="F149" s="8">
        <f>IF(A152="","",SUMIFS(Operatsiyalar!$I:$I,Operatsiyalar!$C:$C,A152,Operatsiyalar!$E:$E,"kirim"))</f>
        <v/>
      </c>
      <c r="G149" s="8">
        <f>IF(A152="","",SUMIFS(Operatsiyalar!$J:$J,Operatsiyalar!$C:$C,A152,Operatsiyalar!$E:$E,"kirim"))</f>
        <v/>
      </c>
      <c r="H149" s="8">
        <f>IF(A152="","",SUMIFS(Operatsiyalar!$I:$I,Operatsiyalar!$C:$C,A152,Operatsiyalar!$E:$E,"chiqim"))</f>
        <v/>
      </c>
      <c r="I149" s="8">
        <f>IF(A152="","",SUMIFS(Operatsiyalar!$J:$J,Operatsiyalar!$C:$C,A152,Operatsiyalar!$E:$E,"chiqim"))</f>
        <v/>
      </c>
      <c r="J149" s="8">
        <f>IF(A152="","",D152+H152-F152)</f>
        <v/>
      </c>
      <c r="K149" s="8">
        <f>IF(A152="","",E152+I152-G152)</f>
        <v/>
      </c>
    </row>
    <row r="150">
      <c r="A150" s="5" t="n"/>
      <c r="B150" s="5" t="n"/>
      <c r="C150" s="6" t="n"/>
      <c r="D150" s="8" t="n"/>
      <c r="E150" s="8" t="n"/>
      <c r="F150" s="8">
        <f>IF(A153="","",SUMIFS(Operatsiyalar!$I:$I,Operatsiyalar!$C:$C,A153,Operatsiyalar!$E:$E,"kirim"))</f>
        <v/>
      </c>
      <c r="G150" s="8">
        <f>IF(A153="","",SUMIFS(Operatsiyalar!$J:$J,Operatsiyalar!$C:$C,A153,Operatsiyalar!$E:$E,"kirim"))</f>
        <v/>
      </c>
      <c r="H150" s="8">
        <f>IF(A153="","",SUMIFS(Operatsiyalar!$I:$I,Operatsiyalar!$C:$C,A153,Operatsiyalar!$E:$E,"chiqim"))</f>
        <v/>
      </c>
      <c r="I150" s="8">
        <f>IF(A153="","",SUMIFS(Operatsiyalar!$J:$J,Operatsiyalar!$C:$C,A153,Operatsiyalar!$E:$E,"chiqim"))</f>
        <v/>
      </c>
      <c r="J150" s="8">
        <f>IF(A153="","",D153+H153-F153)</f>
        <v/>
      </c>
      <c r="K150" s="8">
        <f>IF(A153="","",E153+I153-G153)</f>
        <v/>
      </c>
    </row>
    <row r="151">
      <c r="A151" s="5" t="n"/>
      <c r="B151" s="5" t="n"/>
      <c r="C151" s="6" t="n"/>
      <c r="D151" s="8" t="n"/>
      <c r="E151" s="8" t="n"/>
      <c r="F151" s="8">
        <f>IF(A154="","",SUMIFS(Operatsiyalar!$I:$I,Operatsiyalar!$C:$C,A154,Operatsiyalar!$E:$E,"kirim"))</f>
        <v/>
      </c>
      <c r="G151" s="8">
        <f>IF(A154="","",SUMIFS(Operatsiyalar!$J:$J,Operatsiyalar!$C:$C,A154,Operatsiyalar!$E:$E,"kirim"))</f>
        <v/>
      </c>
      <c r="H151" s="8">
        <f>IF(A154="","",SUMIFS(Operatsiyalar!$I:$I,Operatsiyalar!$C:$C,A154,Operatsiyalar!$E:$E,"chiqim"))</f>
        <v/>
      </c>
      <c r="I151" s="8">
        <f>IF(A154="","",SUMIFS(Operatsiyalar!$J:$J,Operatsiyalar!$C:$C,A154,Operatsiyalar!$E:$E,"chiqim"))</f>
        <v/>
      </c>
      <c r="J151" s="8">
        <f>IF(A154="","",D154+H154-F154)</f>
        <v/>
      </c>
      <c r="K151" s="8">
        <f>IF(A154="","",E154+I154-G154)</f>
        <v/>
      </c>
    </row>
    <row r="152">
      <c r="A152" s="5" t="n"/>
      <c r="B152" s="5" t="n"/>
      <c r="C152" s="6" t="n"/>
      <c r="D152" s="8" t="n"/>
      <c r="E152" s="8" t="n"/>
      <c r="F152" s="8">
        <f>IF(A155="","",SUMIFS(Operatsiyalar!$I:$I,Operatsiyalar!$C:$C,A155,Operatsiyalar!$E:$E,"kirim"))</f>
        <v/>
      </c>
      <c r="G152" s="8">
        <f>IF(A155="","",SUMIFS(Operatsiyalar!$J:$J,Operatsiyalar!$C:$C,A155,Operatsiyalar!$E:$E,"kirim"))</f>
        <v/>
      </c>
      <c r="H152" s="8">
        <f>IF(A155="","",SUMIFS(Operatsiyalar!$I:$I,Operatsiyalar!$C:$C,A155,Operatsiyalar!$E:$E,"chiqim"))</f>
        <v/>
      </c>
      <c r="I152" s="8">
        <f>IF(A155="","",SUMIFS(Operatsiyalar!$J:$J,Operatsiyalar!$C:$C,A155,Operatsiyalar!$E:$E,"chiqim"))</f>
        <v/>
      </c>
      <c r="J152" s="8">
        <f>IF(A155="","",D155+H155-F155)</f>
        <v/>
      </c>
      <c r="K152" s="8">
        <f>IF(A155="","",E155+I155-G155)</f>
        <v/>
      </c>
    </row>
    <row r="153">
      <c r="A153" s="5" t="n"/>
      <c r="B153" s="5" t="n"/>
      <c r="C153" s="6" t="n"/>
      <c r="D153" s="8" t="n"/>
      <c r="E153" s="8" t="n"/>
      <c r="F153" s="8">
        <f>IF(A156="","",SUMIFS(Operatsiyalar!$I:$I,Operatsiyalar!$C:$C,A156,Operatsiyalar!$E:$E,"kirim"))</f>
        <v/>
      </c>
      <c r="G153" s="8">
        <f>IF(A156="","",SUMIFS(Operatsiyalar!$J:$J,Operatsiyalar!$C:$C,A156,Operatsiyalar!$E:$E,"kirim"))</f>
        <v/>
      </c>
      <c r="H153" s="8">
        <f>IF(A156="","",SUMIFS(Operatsiyalar!$I:$I,Operatsiyalar!$C:$C,A156,Operatsiyalar!$E:$E,"chiqim"))</f>
        <v/>
      </c>
      <c r="I153" s="8">
        <f>IF(A156="","",SUMIFS(Operatsiyalar!$J:$J,Operatsiyalar!$C:$C,A156,Operatsiyalar!$E:$E,"chiqim"))</f>
        <v/>
      </c>
      <c r="J153" s="8">
        <f>IF(A156="","",D156+H156-F156)</f>
        <v/>
      </c>
      <c r="K153" s="8">
        <f>IF(A156="","",E156+I156-G156)</f>
        <v/>
      </c>
    </row>
    <row r="154">
      <c r="A154" s="5" t="n"/>
      <c r="B154" s="5" t="n"/>
      <c r="C154" s="6" t="n"/>
      <c r="D154" s="8" t="n"/>
      <c r="E154" s="8" t="n"/>
      <c r="F154" s="8">
        <f>IF(A157="","",SUMIFS(Operatsiyalar!$I:$I,Operatsiyalar!$C:$C,A157,Operatsiyalar!$E:$E,"kirim"))</f>
        <v/>
      </c>
      <c r="G154" s="8">
        <f>IF(A157="","",SUMIFS(Operatsiyalar!$J:$J,Operatsiyalar!$C:$C,A157,Operatsiyalar!$E:$E,"kirim"))</f>
        <v/>
      </c>
      <c r="H154" s="8">
        <f>IF(A157="","",SUMIFS(Operatsiyalar!$I:$I,Operatsiyalar!$C:$C,A157,Operatsiyalar!$E:$E,"chiqim"))</f>
        <v/>
      </c>
      <c r="I154" s="8">
        <f>IF(A157="","",SUMIFS(Operatsiyalar!$J:$J,Operatsiyalar!$C:$C,A157,Operatsiyalar!$E:$E,"chiqim"))</f>
        <v/>
      </c>
      <c r="J154" s="8">
        <f>IF(A157="","",D157+H157-F157)</f>
        <v/>
      </c>
      <c r="K154" s="8">
        <f>IF(A157="","",E157+I157-G157)</f>
        <v/>
      </c>
    </row>
    <row r="155">
      <c r="A155" s="5" t="n"/>
      <c r="B155" s="5" t="n"/>
      <c r="C155" s="6" t="n"/>
      <c r="D155" s="8" t="n"/>
      <c r="E155" s="8" t="n"/>
      <c r="F155" s="8">
        <f>IF(A158="","",SUMIFS(Operatsiyalar!$I:$I,Operatsiyalar!$C:$C,A158,Operatsiyalar!$E:$E,"kirim"))</f>
        <v/>
      </c>
      <c r="G155" s="8">
        <f>IF(A158="","",SUMIFS(Operatsiyalar!$J:$J,Operatsiyalar!$C:$C,A158,Operatsiyalar!$E:$E,"kirim"))</f>
        <v/>
      </c>
      <c r="H155" s="8">
        <f>IF(A158="","",SUMIFS(Operatsiyalar!$I:$I,Operatsiyalar!$C:$C,A158,Operatsiyalar!$E:$E,"chiqim"))</f>
        <v/>
      </c>
      <c r="I155" s="8">
        <f>IF(A158="","",SUMIFS(Operatsiyalar!$J:$J,Operatsiyalar!$C:$C,A158,Operatsiyalar!$E:$E,"chiqim"))</f>
        <v/>
      </c>
      <c r="J155" s="8">
        <f>IF(A158="","",D158+H158-F158)</f>
        <v/>
      </c>
      <c r="K155" s="8">
        <f>IF(A158="","",E158+I158-G158)</f>
        <v/>
      </c>
    </row>
    <row r="156">
      <c r="A156" s="5" t="n"/>
      <c r="B156" s="5" t="n"/>
      <c r="C156" s="6" t="n"/>
      <c r="D156" s="8" t="n"/>
      <c r="E156" s="8" t="n"/>
      <c r="F156" s="8">
        <f>IF(A159="","",SUMIFS(Operatsiyalar!$I:$I,Operatsiyalar!$C:$C,A159,Operatsiyalar!$E:$E,"kirim"))</f>
        <v/>
      </c>
      <c r="G156" s="8">
        <f>IF(A159="","",SUMIFS(Operatsiyalar!$J:$J,Operatsiyalar!$C:$C,A159,Operatsiyalar!$E:$E,"kirim"))</f>
        <v/>
      </c>
      <c r="H156" s="8">
        <f>IF(A159="","",SUMIFS(Operatsiyalar!$I:$I,Operatsiyalar!$C:$C,A159,Operatsiyalar!$E:$E,"chiqim"))</f>
        <v/>
      </c>
      <c r="I156" s="8">
        <f>IF(A159="","",SUMIFS(Operatsiyalar!$J:$J,Operatsiyalar!$C:$C,A159,Operatsiyalar!$E:$E,"chiqim"))</f>
        <v/>
      </c>
      <c r="J156" s="8">
        <f>IF(A159="","",D159+H159-F159)</f>
        <v/>
      </c>
      <c r="K156" s="8">
        <f>IF(A159="","",E159+I159-G159)</f>
        <v/>
      </c>
    </row>
    <row r="157">
      <c r="A157" s="5" t="n"/>
      <c r="B157" s="5" t="n"/>
      <c r="C157" s="6" t="n"/>
      <c r="D157" s="8" t="n"/>
      <c r="E157" s="8" t="n"/>
      <c r="F157" s="8">
        <f>IF(A160="","",SUMIFS(Operatsiyalar!$I:$I,Operatsiyalar!$C:$C,A160,Operatsiyalar!$E:$E,"kirim"))</f>
        <v/>
      </c>
      <c r="G157" s="8">
        <f>IF(A160="","",SUMIFS(Operatsiyalar!$J:$J,Operatsiyalar!$C:$C,A160,Operatsiyalar!$E:$E,"kirim"))</f>
        <v/>
      </c>
      <c r="H157" s="8">
        <f>IF(A160="","",SUMIFS(Operatsiyalar!$I:$I,Operatsiyalar!$C:$C,A160,Operatsiyalar!$E:$E,"chiqim"))</f>
        <v/>
      </c>
      <c r="I157" s="8">
        <f>IF(A160="","",SUMIFS(Operatsiyalar!$J:$J,Operatsiyalar!$C:$C,A160,Operatsiyalar!$E:$E,"chiqim"))</f>
        <v/>
      </c>
      <c r="J157" s="8">
        <f>IF(A160="","",D160+H160-F160)</f>
        <v/>
      </c>
      <c r="K157" s="8">
        <f>IF(A160="","",E160+I160-G160)</f>
        <v/>
      </c>
    </row>
    <row r="158">
      <c r="A158" s="5" t="n"/>
      <c r="B158" s="5" t="n"/>
      <c r="C158" s="6" t="n"/>
      <c r="D158" s="8" t="n"/>
      <c r="E158" s="8" t="n"/>
      <c r="F158" s="8">
        <f>IF(A161="","",SUMIFS(Operatsiyalar!$I:$I,Operatsiyalar!$C:$C,A161,Operatsiyalar!$E:$E,"kirim"))</f>
        <v/>
      </c>
      <c r="G158" s="8">
        <f>IF(A161="","",SUMIFS(Operatsiyalar!$J:$J,Operatsiyalar!$C:$C,A161,Operatsiyalar!$E:$E,"kirim"))</f>
        <v/>
      </c>
      <c r="H158" s="8">
        <f>IF(A161="","",SUMIFS(Operatsiyalar!$I:$I,Operatsiyalar!$C:$C,A161,Operatsiyalar!$E:$E,"chiqim"))</f>
        <v/>
      </c>
      <c r="I158" s="8">
        <f>IF(A161="","",SUMIFS(Operatsiyalar!$J:$J,Operatsiyalar!$C:$C,A161,Operatsiyalar!$E:$E,"chiqim"))</f>
        <v/>
      </c>
      <c r="J158" s="8">
        <f>IF(A161="","",D161+H161-F161)</f>
        <v/>
      </c>
      <c r="K158" s="8">
        <f>IF(A161="","",E161+I161-G161)</f>
        <v/>
      </c>
    </row>
    <row r="159">
      <c r="A159" s="5" t="n"/>
      <c r="B159" s="5" t="n"/>
      <c r="C159" s="6" t="n"/>
      <c r="D159" s="8" t="n"/>
      <c r="E159" s="8" t="n"/>
      <c r="F159" s="8">
        <f>IF(A162="","",SUMIFS(Operatsiyalar!$I:$I,Operatsiyalar!$C:$C,A162,Operatsiyalar!$E:$E,"kirim"))</f>
        <v/>
      </c>
      <c r="G159" s="8">
        <f>IF(A162="","",SUMIFS(Operatsiyalar!$J:$J,Operatsiyalar!$C:$C,A162,Operatsiyalar!$E:$E,"kirim"))</f>
        <v/>
      </c>
      <c r="H159" s="8">
        <f>IF(A162="","",SUMIFS(Operatsiyalar!$I:$I,Operatsiyalar!$C:$C,A162,Operatsiyalar!$E:$E,"chiqim"))</f>
        <v/>
      </c>
      <c r="I159" s="8">
        <f>IF(A162="","",SUMIFS(Operatsiyalar!$J:$J,Operatsiyalar!$C:$C,A162,Operatsiyalar!$E:$E,"chiqim"))</f>
        <v/>
      </c>
      <c r="J159" s="8">
        <f>IF(A162="","",D162+H162-F162)</f>
        <v/>
      </c>
      <c r="K159" s="8">
        <f>IF(A162="","",E162+I162-G162)</f>
        <v/>
      </c>
    </row>
    <row r="160">
      <c r="A160" s="5" t="n"/>
      <c r="B160" s="5" t="n"/>
      <c r="C160" s="6" t="n"/>
      <c r="D160" s="8" t="n"/>
      <c r="E160" s="8" t="n"/>
      <c r="F160" s="8">
        <f>IF(A163="","",SUMIFS(Operatsiyalar!$I:$I,Operatsiyalar!$C:$C,A163,Operatsiyalar!$E:$E,"kirim"))</f>
        <v/>
      </c>
      <c r="G160" s="8">
        <f>IF(A163="","",SUMIFS(Operatsiyalar!$J:$J,Operatsiyalar!$C:$C,A163,Operatsiyalar!$E:$E,"kirim"))</f>
        <v/>
      </c>
      <c r="H160" s="8">
        <f>IF(A163="","",SUMIFS(Operatsiyalar!$I:$I,Operatsiyalar!$C:$C,A163,Operatsiyalar!$E:$E,"chiqim"))</f>
        <v/>
      </c>
      <c r="I160" s="8">
        <f>IF(A163="","",SUMIFS(Operatsiyalar!$J:$J,Operatsiyalar!$C:$C,A163,Operatsiyalar!$E:$E,"chiqim"))</f>
        <v/>
      </c>
      <c r="J160" s="8">
        <f>IF(A163="","",D163+H163-F163)</f>
        <v/>
      </c>
      <c r="K160" s="8">
        <f>IF(A163="","",E163+I163-G163)</f>
        <v/>
      </c>
    </row>
    <row r="161">
      <c r="A161" s="5" t="n"/>
      <c r="B161" s="5" t="n"/>
      <c r="C161" s="6" t="n"/>
      <c r="D161" s="8" t="n"/>
      <c r="E161" s="8" t="n"/>
      <c r="F161" s="8">
        <f>IF(A164="","",SUMIFS(Operatsiyalar!$I:$I,Operatsiyalar!$C:$C,A164,Operatsiyalar!$E:$E,"kirim"))</f>
        <v/>
      </c>
      <c r="G161" s="8">
        <f>IF(A164="","",SUMIFS(Operatsiyalar!$J:$J,Operatsiyalar!$C:$C,A164,Operatsiyalar!$E:$E,"kirim"))</f>
        <v/>
      </c>
      <c r="H161" s="8">
        <f>IF(A164="","",SUMIFS(Operatsiyalar!$I:$I,Operatsiyalar!$C:$C,A164,Operatsiyalar!$E:$E,"chiqim"))</f>
        <v/>
      </c>
      <c r="I161" s="8">
        <f>IF(A164="","",SUMIFS(Operatsiyalar!$J:$J,Operatsiyalar!$C:$C,A164,Operatsiyalar!$E:$E,"chiqim"))</f>
        <v/>
      </c>
      <c r="J161" s="8">
        <f>IF(A164="","",D164+H164-F164)</f>
        <v/>
      </c>
      <c r="K161" s="8">
        <f>IF(A164="","",E164+I164-G164)</f>
        <v/>
      </c>
    </row>
    <row r="162">
      <c r="A162" s="5" t="n"/>
      <c r="B162" s="5" t="n"/>
      <c r="C162" s="6" t="n"/>
      <c r="D162" s="8" t="n"/>
      <c r="E162" s="8" t="n"/>
      <c r="F162" s="8">
        <f>IF(A165="","",SUMIFS(Operatsiyalar!$I:$I,Operatsiyalar!$C:$C,A165,Operatsiyalar!$E:$E,"kirim"))</f>
        <v/>
      </c>
      <c r="G162" s="8">
        <f>IF(A165="","",SUMIFS(Operatsiyalar!$J:$J,Operatsiyalar!$C:$C,A165,Operatsiyalar!$E:$E,"kirim"))</f>
        <v/>
      </c>
      <c r="H162" s="8">
        <f>IF(A165="","",SUMIFS(Operatsiyalar!$I:$I,Operatsiyalar!$C:$C,A165,Operatsiyalar!$E:$E,"chiqim"))</f>
        <v/>
      </c>
      <c r="I162" s="8">
        <f>IF(A165="","",SUMIFS(Operatsiyalar!$J:$J,Operatsiyalar!$C:$C,A165,Operatsiyalar!$E:$E,"chiqim"))</f>
        <v/>
      </c>
      <c r="J162" s="8">
        <f>IF(A165="","",D165+H165-F165)</f>
        <v/>
      </c>
      <c r="K162" s="8">
        <f>IF(A165="","",E165+I165-G165)</f>
        <v/>
      </c>
    </row>
    <row r="163">
      <c r="A163" s="5" t="n"/>
      <c r="B163" s="5" t="n"/>
      <c r="C163" s="6" t="n"/>
      <c r="D163" s="8" t="n"/>
      <c r="E163" s="8" t="n"/>
      <c r="F163" s="8">
        <f>IF(A166="","",SUMIFS(Operatsiyalar!$I:$I,Operatsiyalar!$C:$C,A166,Operatsiyalar!$E:$E,"kirim"))</f>
        <v/>
      </c>
      <c r="G163" s="8">
        <f>IF(A166="","",SUMIFS(Operatsiyalar!$J:$J,Operatsiyalar!$C:$C,A166,Operatsiyalar!$E:$E,"kirim"))</f>
        <v/>
      </c>
      <c r="H163" s="8">
        <f>IF(A166="","",SUMIFS(Operatsiyalar!$I:$I,Operatsiyalar!$C:$C,A166,Operatsiyalar!$E:$E,"chiqim"))</f>
        <v/>
      </c>
      <c r="I163" s="8">
        <f>IF(A166="","",SUMIFS(Operatsiyalar!$J:$J,Operatsiyalar!$C:$C,A166,Operatsiyalar!$E:$E,"chiqim"))</f>
        <v/>
      </c>
      <c r="J163" s="8">
        <f>IF(A166="","",D166+H166-F166)</f>
        <v/>
      </c>
      <c r="K163" s="8">
        <f>IF(A166="","",E166+I166-G166)</f>
        <v/>
      </c>
    </row>
    <row r="164">
      <c r="A164" s="5" t="n"/>
      <c r="B164" s="5" t="n"/>
      <c r="C164" s="6" t="n"/>
      <c r="D164" s="8" t="n"/>
      <c r="E164" s="8" t="n"/>
      <c r="F164" s="8">
        <f>IF(A167="","",SUMIFS(Operatsiyalar!$I:$I,Operatsiyalar!$C:$C,A167,Operatsiyalar!$E:$E,"kirim"))</f>
        <v/>
      </c>
      <c r="G164" s="8">
        <f>IF(A167="","",SUMIFS(Operatsiyalar!$J:$J,Operatsiyalar!$C:$C,A167,Operatsiyalar!$E:$E,"kirim"))</f>
        <v/>
      </c>
      <c r="H164" s="8">
        <f>IF(A167="","",SUMIFS(Operatsiyalar!$I:$I,Operatsiyalar!$C:$C,A167,Operatsiyalar!$E:$E,"chiqim"))</f>
        <v/>
      </c>
      <c r="I164" s="8">
        <f>IF(A167="","",SUMIFS(Operatsiyalar!$J:$J,Operatsiyalar!$C:$C,A167,Operatsiyalar!$E:$E,"chiqim"))</f>
        <v/>
      </c>
      <c r="J164" s="8">
        <f>IF(A167="","",D167+H167-F167)</f>
        <v/>
      </c>
      <c r="K164" s="8">
        <f>IF(A167="","",E167+I167-G167)</f>
        <v/>
      </c>
    </row>
    <row r="165">
      <c r="A165" s="5" t="n"/>
      <c r="B165" s="5" t="n"/>
      <c r="C165" s="6" t="n"/>
      <c r="D165" s="8" t="n"/>
      <c r="E165" s="8" t="n"/>
      <c r="F165" s="8">
        <f>IF(A168="","",SUMIFS(Operatsiyalar!$I:$I,Operatsiyalar!$C:$C,A168,Operatsiyalar!$E:$E,"kirim"))</f>
        <v/>
      </c>
      <c r="G165" s="8">
        <f>IF(A168="","",SUMIFS(Operatsiyalar!$J:$J,Operatsiyalar!$C:$C,A168,Operatsiyalar!$E:$E,"kirim"))</f>
        <v/>
      </c>
      <c r="H165" s="8">
        <f>IF(A168="","",SUMIFS(Operatsiyalar!$I:$I,Operatsiyalar!$C:$C,A168,Operatsiyalar!$E:$E,"chiqim"))</f>
        <v/>
      </c>
      <c r="I165" s="8">
        <f>IF(A168="","",SUMIFS(Operatsiyalar!$J:$J,Operatsiyalar!$C:$C,A168,Operatsiyalar!$E:$E,"chiqim"))</f>
        <v/>
      </c>
      <c r="J165" s="8">
        <f>IF(A168="","",D168+H168-F168)</f>
        <v/>
      </c>
      <c r="K165" s="8">
        <f>IF(A168="","",E168+I168-G168)</f>
        <v/>
      </c>
    </row>
    <row r="166">
      <c r="A166" s="5" t="n"/>
      <c r="B166" s="5" t="n"/>
      <c r="C166" s="6" t="n"/>
      <c r="D166" s="8" t="n"/>
      <c r="E166" s="8" t="n"/>
      <c r="F166" s="8">
        <f>IF(A169="","",SUMIFS(Operatsiyalar!$I:$I,Operatsiyalar!$C:$C,A169,Operatsiyalar!$E:$E,"kirim"))</f>
        <v/>
      </c>
      <c r="G166" s="8">
        <f>IF(A169="","",SUMIFS(Operatsiyalar!$J:$J,Operatsiyalar!$C:$C,A169,Operatsiyalar!$E:$E,"kirim"))</f>
        <v/>
      </c>
      <c r="H166" s="8">
        <f>IF(A169="","",SUMIFS(Operatsiyalar!$I:$I,Operatsiyalar!$C:$C,A169,Operatsiyalar!$E:$E,"chiqim"))</f>
        <v/>
      </c>
      <c r="I166" s="8">
        <f>IF(A169="","",SUMIFS(Operatsiyalar!$J:$J,Operatsiyalar!$C:$C,A169,Operatsiyalar!$E:$E,"chiqim"))</f>
        <v/>
      </c>
      <c r="J166" s="8">
        <f>IF(A169="","",D169+H169-F169)</f>
        <v/>
      </c>
      <c r="K166" s="8">
        <f>IF(A169="","",E169+I169-G169)</f>
        <v/>
      </c>
    </row>
    <row r="167">
      <c r="A167" s="5" t="n"/>
      <c r="B167" s="5" t="n"/>
      <c r="C167" s="6" t="n"/>
      <c r="D167" s="8" t="n"/>
      <c r="E167" s="8" t="n"/>
      <c r="F167" s="8">
        <f>IF(A170="","",SUMIFS(Operatsiyalar!$I:$I,Operatsiyalar!$C:$C,A170,Operatsiyalar!$E:$E,"kirim"))</f>
        <v/>
      </c>
      <c r="G167" s="8">
        <f>IF(A170="","",SUMIFS(Operatsiyalar!$J:$J,Operatsiyalar!$C:$C,A170,Operatsiyalar!$E:$E,"kirim"))</f>
        <v/>
      </c>
      <c r="H167" s="8">
        <f>IF(A170="","",SUMIFS(Operatsiyalar!$I:$I,Operatsiyalar!$C:$C,A170,Operatsiyalar!$E:$E,"chiqim"))</f>
        <v/>
      </c>
      <c r="I167" s="8">
        <f>IF(A170="","",SUMIFS(Operatsiyalar!$J:$J,Operatsiyalar!$C:$C,A170,Operatsiyalar!$E:$E,"chiqim"))</f>
        <v/>
      </c>
      <c r="J167" s="8">
        <f>IF(A170="","",D170+H170-F170)</f>
        <v/>
      </c>
      <c r="K167" s="8">
        <f>IF(A170="","",E170+I170-G170)</f>
        <v/>
      </c>
    </row>
    <row r="168">
      <c r="A168" s="5" t="n"/>
      <c r="B168" s="5" t="n"/>
      <c r="C168" s="6" t="n"/>
      <c r="D168" s="8" t="n"/>
      <c r="E168" s="8" t="n"/>
      <c r="F168" s="8">
        <f>IF(A171="","",SUMIFS(Operatsiyalar!$I:$I,Operatsiyalar!$C:$C,A171,Operatsiyalar!$E:$E,"kirim"))</f>
        <v/>
      </c>
      <c r="G168" s="8">
        <f>IF(A171="","",SUMIFS(Operatsiyalar!$J:$J,Operatsiyalar!$C:$C,A171,Operatsiyalar!$E:$E,"kirim"))</f>
        <v/>
      </c>
      <c r="H168" s="8">
        <f>IF(A171="","",SUMIFS(Operatsiyalar!$I:$I,Operatsiyalar!$C:$C,A171,Operatsiyalar!$E:$E,"chiqim"))</f>
        <v/>
      </c>
      <c r="I168" s="8">
        <f>IF(A171="","",SUMIFS(Operatsiyalar!$J:$J,Operatsiyalar!$C:$C,A171,Operatsiyalar!$E:$E,"chiqim"))</f>
        <v/>
      </c>
      <c r="J168" s="8">
        <f>IF(A171="","",D171+H171-F171)</f>
        <v/>
      </c>
      <c r="K168" s="8">
        <f>IF(A171="","",E171+I171-G171)</f>
        <v/>
      </c>
    </row>
    <row r="169">
      <c r="A169" s="5" t="n"/>
      <c r="B169" s="5" t="n"/>
      <c r="C169" s="6" t="n"/>
      <c r="D169" s="8" t="n"/>
      <c r="E169" s="8" t="n"/>
      <c r="F169" s="8">
        <f>IF(A172="","",SUMIFS(Operatsiyalar!$I:$I,Operatsiyalar!$C:$C,A172,Operatsiyalar!$E:$E,"kirim"))</f>
        <v/>
      </c>
      <c r="G169" s="8">
        <f>IF(A172="","",SUMIFS(Operatsiyalar!$J:$J,Operatsiyalar!$C:$C,A172,Operatsiyalar!$E:$E,"kirim"))</f>
        <v/>
      </c>
      <c r="H169" s="8">
        <f>IF(A172="","",SUMIFS(Operatsiyalar!$I:$I,Operatsiyalar!$C:$C,A172,Operatsiyalar!$E:$E,"chiqim"))</f>
        <v/>
      </c>
      <c r="I169" s="8">
        <f>IF(A172="","",SUMIFS(Operatsiyalar!$J:$J,Operatsiyalar!$C:$C,A172,Operatsiyalar!$E:$E,"chiqim"))</f>
        <v/>
      </c>
      <c r="J169" s="8">
        <f>IF(A172="","",D172+H172-F172)</f>
        <v/>
      </c>
      <c r="K169" s="8">
        <f>IF(A172="","",E172+I172-G172)</f>
        <v/>
      </c>
    </row>
    <row r="170">
      <c r="A170" s="5" t="n"/>
      <c r="B170" s="5" t="n"/>
      <c r="C170" s="6" t="n"/>
      <c r="D170" s="8" t="n"/>
      <c r="E170" s="8" t="n"/>
      <c r="F170" s="8">
        <f>IF(A173="","",SUMIFS(Operatsiyalar!$I:$I,Operatsiyalar!$C:$C,A173,Operatsiyalar!$E:$E,"kirim"))</f>
        <v/>
      </c>
      <c r="G170" s="8">
        <f>IF(A173="","",SUMIFS(Operatsiyalar!$J:$J,Operatsiyalar!$C:$C,A173,Operatsiyalar!$E:$E,"kirim"))</f>
        <v/>
      </c>
      <c r="H170" s="8">
        <f>IF(A173="","",SUMIFS(Operatsiyalar!$I:$I,Operatsiyalar!$C:$C,A173,Operatsiyalar!$E:$E,"chiqim"))</f>
        <v/>
      </c>
      <c r="I170" s="8">
        <f>IF(A173="","",SUMIFS(Operatsiyalar!$J:$J,Operatsiyalar!$C:$C,A173,Operatsiyalar!$E:$E,"chiqim"))</f>
        <v/>
      </c>
      <c r="J170" s="8">
        <f>IF(A173="","",D173+H173-F173)</f>
        <v/>
      </c>
      <c r="K170" s="8">
        <f>IF(A173="","",E173+I173-G173)</f>
        <v/>
      </c>
    </row>
    <row r="171">
      <c r="A171" s="5" t="n"/>
      <c r="B171" s="5" t="n"/>
      <c r="C171" s="6" t="n"/>
      <c r="D171" s="8" t="n"/>
      <c r="E171" s="8" t="n"/>
      <c r="F171" s="8">
        <f>IF(A174="","",SUMIFS(Operatsiyalar!$I:$I,Operatsiyalar!$C:$C,A174,Operatsiyalar!$E:$E,"kirim"))</f>
        <v/>
      </c>
      <c r="G171" s="8">
        <f>IF(A174="","",SUMIFS(Operatsiyalar!$J:$J,Operatsiyalar!$C:$C,A174,Operatsiyalar!$E:$E,"kirim"))</f>
        <v/>
      </c>
      <c r="H171" s="8">
        <f>IF(A174="","",SUMIFS(Operatsiyalar!$I:$I,Operatsiyalar!$C:$C,A174,Operatsiyalar!$E:$E,"chiqim"))</f>
        <v/>
      </c>
      <c r="I171" s="8">
        <f>IF(A174="","",SUMIFS(Operatsiyalar!$J:$J,Operatsiyalar!$C:$C,A174,Operatsiyalar!$E:$E,"chiqim"))</f>
        <v/>
      </c>
      <c r="J171" s="8">
        <f>IF(A174="","",D174+H174-F174)</f>
        <v/>
      </c>
      <c r="K171" s="8">
        <f>IF(A174="","",E174+I174-G174)</f>
        <v/>
      </c>
    </row>
    <row r="172">
      <c r="A172" s="5" t="n"/>
      <c r="B172" s="5" t="n"/>
      <c r="C172" s="6" t="n"/>
      <c r="D172" s="8" t="n"/>
      <c r="E172" s="8" t="n"/>
      <c r="F172" s="8">
        <f>IF(A175="","",SUMIFS(Operatsiyalar!$I:$I,Operatsiyalar!$C:$C,A175,Operatsiyalar!$E:$E,"kirim"))</f>
        <v/>
      </c>
      <c r="G172" s="8">
        <f>IF(A175="","",SUMIFS(Operatsiyalar!$J:$J,Operatsiyalar!$C:$C,A175,Operatsiyalar!$E:$E,"kirim"))</f>
        <v/>
      </c>
      <c r="H172" s="8">
        <f>IF(A175="","",SUMIFS(Operatsiyalar!$I:$I,Operatsiyalar!$C:$C,A175,Operatsiyalar!$E:$E,"chiqim"))</f>
        <v/>
      </c>
      <c r="I172" s="8">
        <f>IF(A175="","",SUMIFS(Operatsiyalar!$J:$J,Operatsiyalar!$C:$C,A175,Operatsiyalar!$E:$E,"chiqim"))</f>
        <v/>
      </c>
      <c r="J172" s="8">
        <f>IF(A175="","",D175+H175-F175)</f>
        <v/>
      </c>
      <c r="K172" s="8">
        <f>IF(A175="","",E175+I175-G175)</f>
        <v/>
      </c>
    </row>
    <row r="173">
      <c r="A173" s="5" t="n"/>
      <c r="B173" s="5" t="n"/>
      <c r="C173" s="6" t="n"/>
      <c r="D173" s="8" t="n"/>
      <c r="E173" s="8" t="n"/>
      <c r="F173" s="8">
        <f>IF(A176="","",SUMIFS(Operatsiyalar!$I:$I,Operatsiyalar!$C:$C,A176,Operatsiyalar!$E:$E,"kirim"))</f>
        <v/>
      </c>
      <c r="G173" s="8">
        <f>IF(A176="","",SUMIFS(Operatsiyalar!$J:$J,Operatsiyalar!$C:$C,A176,Operatsiyalar!$E:$E,"kirim"))</f>
        <v/>
      </c>
      <c r="H173" s="8">
        <f>IF(A176="","",SUMIFS(Operatsiyalar!$I:$I,Operatsiyalar!$C:$C,A176,Operatsiyalar!$E:$E,"chiqim"))</f>
        <v/>
      </c>
      <c r="I173" s="8">
        <f>IF(A176="","",SUMIFS(Operatsiyalar!$J:$J,Operatsiyalar!$C:$C,A176,Operatsiyalar!$E:$E,"chiqim"))</f>
        <v/>
      </c>
      <c r="J173" s="8">
        <f>IF(A176="","",D176+H176-F176)</f>
        <v/>
      </c>
      <c r="K173" s="8">
        <f>IF(A176="","",E176+I176-G176)</f>
        <v/>
      </c>
    </row>
    <row r="174">
      <c r="A174" s="5" t="n"/>
      <c r="B174" s="5" t="n"/>
      <c r="C174" s="6" t="n"/>
      <c r="D174" s="8" t="n"/>
      <c r="E174" s="8" t="n"/>
      <c r="F174" s="8">
        <f>IF(A177="","",SUMIFS(Operatsiyalar!$I:$I,Operatsiyalar!$C:$C,A177,Operatsiyalar!$E:$E,"kirim"))</f>
        <v/>
      </c>
      <c r="G174" s="8">
        <f>IF(A177="","",SUMIFS(Operatsiyalar!$J:$J,Operatsiyalar!$C:$C,A177,Operatsiyalar!$E:$E,"kirim"))</f>
        <v/>
      </c>
      <c r="H174" s="8">
        <f>IF(A177="","",SUMIFS(Operatsiyalar!$I:$I,Operatsiyalar!$C:$C,A177,Operatsiyalar!$E:$E,"chiqim"))</f>
        <v/>
      </c>
      <c r="I174" s="8">
        <f>IF(A177="","",SUMIFS(Operatsiyalar!$J:$J,Operatsiyalar!$C:$C,A177,Operatsiyalar!$E:$E,"chiqim"))</f>
        <v/>
      </c>
      <c r="J174" s="8">
        <f>IF(A177="","",D177+H177-F177)</f>
        <v/>
      </c>
      <c r="K174" s="8">
        <f>IF(A177="","",E177+I177-G177)</f>
        <v/>
      </c>
    </row>
    <row r="175">
      <c r="A175" s="5" t="n"/>
      <c r="B175" s="5" t="n"/>
      <c r="C175" s="6" t="n"/>
      <c r="D175" s="8" t="n"/>
      <c r="E175" s="8" t="n"/>
      <c r="F175" s="8">
        <f>IF(A178="","",SUMIFS(Operatsiyalar!$I:$I,Operatsiyalar!$C:$C,A178,Operatsiyalar!$E:$E,"kirim"))</f>
        <v/>
      </c>
      <c r="G175" s="8">
        <f>IF(A178="","",SUMIFS(Operatsiyalar!$J:$J,Operatsiyalar!$C:$C,A178,Operatsiyalar!$E:$E,"kirim"))</f>
        <v/>
      </c>
      <c r="H175" s="8">
        <f>IF(A178="","",SUMIFS(Operatsiyalar!$I:$I,Operatsiyalar!$C:$C,A178,Operatsiyalar!$E:$E,"chiqim"))</f>
        <v/>
      </c>
      <c r="I175" s="8">
        <f>IF(A178="","",SUMIFS(Operatsiyalar!$J:$J,Operatsiyalar!$C:$C,A178,Operatsiyalar!$E:$E,"chiqim"))</f>
        <v/>
      </c>
      <c r="J175" s="8">
        <f>IF(A178="","",D178+H178-F178)</f>
        <v/>
      </c>
      <c r="K175" s="8">
        <f>IF(A178="","",E178+I178-G178)</f>
        <v/>
      </c>
    </row>
    <row r="176">
      <c r="A176" s="5" t="n"/>
      <c r="B176" s="5" t="n"/>
      <c r="C176" s="6" t="n"/>
      <c r="D176" s="8" t="n"/>
      <c r="E176" s="8" t="n"/>
      <c r="F176" s="8">
        <f>IF(A179="","",SUMIFS(Operatsiyalar!$I:$I,Operatsiyalar!$C:$C,A179,Operatsiyalar!$E:$E,"kirim"))</f>
        <v/>
      </c>
      <c r="G176" s="8">
        <f>IF(A179="","",SUMIFS(Operatsiyalar!$J:$J,Operatsiyalar!$C:$C,A179,Operatsiyalar!$E:$E,"kirim"))</f>
        <v/>
      </c>
      <c r="H176" s="8">
        <f>IF(A179="","",SUMIFS(Operatsiyalar!$I:$I,Operatsiyalar!$C:$C,A179,Operatsiyalar!$E:$E,"chiqim"))</f>
        <v/>
      </c>
      <c r="I176" s="8">
        <f>IF(A179="","",SUMIFS(Operatsiyalar!$J:$J,Operatsiyalar!$C:$C,A179,Operatsiyalar!$E:$E,"chiqim"))</f>
        <v/>
      </c>
      <c r="J176" s="8">
        <f>IF(A179="","",D179+H179-F179)</f>
        <v/>
      </c>
      <c r="K176" s="8">
        <f>IF(A179="","",E179+I179-G179)</f>
        <v/>
      </c>
    </row>
    <row r="177">
      <c r="A177" s="5" t="n"/>
      <c r="B177" s="5" t="n"/>
      <c r="C177" s="6" t="n"/>
      <c r="D177" s="8" t="n"/>
      <c r="E177" s="8" t="n"/>
      <c r="F177" s="8">
        <f>IF(A180="","",SUMIFS(Operatsiyalar!$I:$I,Operatsiyalar!$C:$C,A180,Operatsiyalar!$E:$E,"kirim"))</f>
        <v/>
      </c>
      <c r="G177" s="8">
        <f>IF(A180="","",SUMIFS(Operatsiyalar!$J:$J,Operatsiyalar!$C:$C,A180,Operatsiyalar!$E:$E,"kirim"))</f>
        <v/>
      </c>
      <c r="H177" s="8">
        <f>IF(A180="","",SUMIFS(Operatsiyalar!$I:$I,Operatsiyalar!$C:$C,A180,Operatsiyalar!$E:$E,"chiqim"))</f>
        <v/>
      </c>
      <c r="I177" s="8">
        <f>IF(A180="","",SUMIFS(Operatsiyalar!$J:$J,Operatsiyalar!$C:$C,A180,Operatsiyalar!$E:$E,"chiqim"))</f>
        <v/>
      </c>
      <c r="J177" s="8">
        <f>IF(A180="","",D180+H180-F180)</f>
        <v/>
      </c>
      <c r="K177" s="8">
        <f>IF(A180="","",E180+I180-G180)</f>
        <v/>
      </c>
    </row>
    <row r="178">
      <c r="A178" s="5" t="n"/>
      <c r="B178" s="5" t="n"/>
      <c r="C178" s="6" t="n"/>
      <c r="D178" s="8" t="n"/>
      <c r="E178" s="8" t="n"/>
      <c r="F178" s="8">
        <f>IF(A181="","",SUMIFS(Operatsiyalar!$I:$I,Operatsiyalar!$C:$C,A181,Operatsiyalar!$E:$E,"kirim"))</f>
        <v/>
      </c>
      <c r="G178" s="8">
        <f>IF(A181="","",SUMIFS(Operatsiyalar!$J:$J,Operatsiyalar!$C:$C,A181,Operatsiyalar!$E:$E,"kirim"))</f>
        <v/>
      </c>
      <c r="H178" s="8">
        <f>IF(A181="","",SUMIFS(Operatsiyalar!$I:$I,Operatsiyalar!$C:$C,A181,Operatsiyalar!$E:$E,"chiqim"))</f>
        <v/>
      </c>
      <c r="I178" s="8">
        <f>IF(A181="","",SUMIFS(Operatsiyalar!$J:$J,Operatsiyalar!$C:$C,A181,Operatsiyalar!$E:$E,"chiqim"))</f>
        <v/>
      </c>
      <c r="J178" s="8">
        <f>IF(A181="","",D181+H181-F181)</f>
        <v/>
      </c>
      <c r="K178" s="8">
        <f>IF(A181="","",E181+I181-G181)</f>
        <v/>
      </c>
    </row>
    <row r="179">
      <c r="A179" s="5" t="n"/>
      <c r="B179" s="5" t="n"/>
      <c r="C179" s="6" t="n"/>
      <c r="D179" s="8" t="n"/>
      <c r="E179" s="8" t="n"/>
      <c r="F179" s="8">
        <f>IF(A182="","",SUMIFS(Operatsiyalar!$I:$I,Operatsiyalar!$C:$C,A182,Operatsiyalar!$E:$E,"kirim"))</f>
        <v/>
      </c>
      <c r="G179" s="8">
        <f>IF(A182="","",SUMIFS(Operatsiyalar!$J:$J,Operatsiyalar!$C:$C,A182,Operatsiyalar!$E:$E,"kirim"))</f>
        <v/>
      </c>
      <c r="H179" s="8">
        <f>IF(A182="","",SUMIFS(Operatsiyalar!$I:$I,Operatsiyalar!$C:$C,A182,Operatsiyalar!$E:$E,"chiqim"))</f>
        <v/>
      </c>
      <c r="I179" s="8">
        <f>IF(A182="","",SUMIFS(Operatsiyalar!$J:$J,Operatsiyalar!$C:$C,A182,Operatsiyalar!$E:$E,"chiqim"))</f>
        <v/>
      </c>
      <c r="J179" s="8">
        <f>IF(A182="","",D182+H182-F182)</f>
        <v/>
      </c>
      <c r="K179" s="8">
        <f>IF(A182="","",E182+I182-G182)</f>
        <v/>
      </c>
    </row>
    <row r="180">
      <c r="A180" s="5" t="n"/>
      <c r="B180" s="5" t="n"/>
      <c r="C180" s="6" t="n"/>
      <c r="D180" s="8" t="n"/>
      <c r="E180" s="8" t="n"/>
      <c r="F180" s="8">
        <f>IF(A183="","",SUMIFS(Operatsiyalar!$I:$I,Operatsiyalar!$C:$C,A183,Operatsiyalar!$E:$E,"kirim"))</f>
        <v/>
      </c>
      <c r="G180" s="8">
        <f>IF(A183="","",SUMIFS(Operatsiyalar!$J:$J,Operatsiyalar!$C:$C,A183,Operatsiyalar!$E:$E,"kirim"))</f>
        <v/>
      </c>
      <c r="H180" s="8">
        <f>IF(A183="","",SUMIFS(Operatsiyalar!$I:$I,Operatsiyalar!$C:$C,A183,Operatsiyalar!$E:$E,"chiqim"))</f>
        <v/>
      </c>
      <c r="I180" s="8">
        <f>IF(A183="","",SUMIFS(Operatsiyalar!$J:$J,Operatsiyalar!$C:$C,A183,Operatsiyalar!$E:$E,"chiqim"))</f>
        <v/>
      </c>
      <c r="J180" s="8">
        <f>IF(A183="","",D183+H183-F183)</f>
        <v/>
      </c>
      <c r="K180" s="8">
        <f>IF(A183="","",E183+I183-G183)</f>
        <v/>
      </c>
    </row>
    <row r="181">
      <c r="A181" s="5" t="n"/>
      <c r="B181" s="5" t="n"/>
      <c r="C181" s="6" t="n"/>
      <c r="D181" s="8" t="n"/>
      <c r="E181" s="8" t="n"/>
      <c r="F181" s="8">
        <f>IF(A184="","",SUMIFS(Operatsiyalar!$I:$I,Operatsiyalar!$C:$C,A184,Operatsiyalar!$E:$E,"kirim"))</f>
        <v/>
      </c>
      <c r="G181" s="8">
        <f>IF(A184="","",SUMIFS(Operatsiyalar!$J:$J,Operatsiyalar!$C:$C,A184,Operatsiyalar!$E:$E,"kirim"))</f>
        <v/>
      </c>
      <c r="H181" s="8">
        <f>IF(A184="","",SUMIFS(Operatsiyalar!$I:$I,Operatsiyalar!$C:$C,A184,Operatsiyalar!$E:$E,"chiqim"))</f>
        <v/>
      </c>
      <c r="I181" s="8">
        <f>IF(A184="","",SUMIFS(Operatsiyalar!$J:$J,Operatsiyalar!$C:$C,A184,Operatsiyalar!$E:$E,"chiqim"))</f>
        <v/>
      </c>
      <c r="J181" s="8">
        <f>IF(A184="","",D184+H184-F184)</f>
        <v/>
      </c>
      <c r="K181" s="8">
        <f>IF(A184="","",E184+I184-G184)</f>
        <v/>
      </c>
    </row>
    <row r="182">
      <c r="A182" s="5" t="n"/>
      <c r="B182" s="5" t="n"/>
      <c r="C182" s="6" t="n"/>
      <c r="D182" s="8" t="n"/>
      <c r="E182" s="8" t="n"/>
      <c r="F182" s="8">
        <f>IF(A185="","",SUMIFS(Operatsiyalar!$I:$I,Operatsiyalar!$C:$C,A185,Operatsiyalar!$E:$E,"kirim"))</f>
        <v/>
      </c>
      <c r="G182" s="8">
        <f>IF(A185="","",SUMIFS(Operatsiyalar!$J:$J,Operatsiyalar!$C:$C,A185,Operatsiyalar!$E:$E,"kirim"))</f>
        <v/>
      </c>
      <c r="H182" s="8">
        <f>IF(A185="","",SUMIFS(Operatsiyalar!$I:$I,Operatsiyalar!$C:$C,A185,Operatsiyalar!$E:$E,"chiqim"))</f>
        <v/>
      </c>
      <c r="I182" s="8">
        <f>IF(A185="","",SUMIFS(Operatsiyalar!$J:$J,Operatsiyalar!$C:$C,A185,Operatsiyalar!$E:$E,"chiqim"))</f>
        <v/>
      </c>
      <c r="J182" s="8">
        <f>IF(A185="","",D185+H185-F185)</f>
        <v/>
      </c>
      <c r="K182" s="8">
        <f>IF(A185="","",E185+I185-G185)</f>
        <v/>
      </c>
    </row>
    <row r="183">
      <c r="A183" s="5" t="n"/>
      <c r="B183" s="5" t="n"/>
      <c r="C183" s="6" t="n"/>
      <c r="D183" s="8" t="n"/>
      <c r="E183" s="8" t="n"/>
      <c r="F183" s="8">
        <f>IF(A186="","",SUMIFS(Operatsiyalar!$I:$I,Operatsiyalar!$C:$C,A186,Operatsiyalar!$E:$E,"kirim"))</f>
        <v/>
      </c>
      <c r="G183" s="8">
        <f>IF(A186="","",SUMIFS(Operatsiyalar!$J:$J,Operatsiyalar!$C:$C,A186,Operatsiyalar!$E:$E,"kirim"))</f>
        <v/>
      </c>
      <c r="H183" s="8">
        <f>IF(A186="","",SUMIFS(Operatsiyalar!$I:$I,Operatsiyalar!$C:$C,A186,Operatsiyalar!$E:$E,"chiqim"))</f>
        <v/>
      </c>
      <c r="I183" s="8">
        <f>IF(A186="","",SUMIFS(Operatsiyalar!$J:$J,Operatsiyalar!$C:$C,A186,Operatsiyalar!$E:$E,"chiqim"))</f>
        <v/>
      </c>
      <c r="J183" s="8">
        <f>IF(A186="","",D186+H186-F186)</f>
        <v/>
      </c>
      <c r="K183" s="8">
        <f>IF(A186="","",E186+I186-G186)</f>
        <v/>
      </c>
    </row>
    <row r="184">
      <c r="A184" s="5" t="n"/>
      <c r="B184" s="5" t="n"/>
      <c r="C184" s="6" t="n"/>
      <c r="D184" s="8" t="n"/>
      <c r="E184" s="8" t="n"/>
      <c r="F184" s="8">
        <f>IF(A187="","",SUMIFS(Operatsiyalar!$I:$I,Operatsiyalar!$C:$C,A187,Operatsiyalar!$E:$E,"kirim"))</f>
        <v/>
      </c>
      <c r="G184" s="8">
        <f>IF(A187="","",SUMIFS(Operatsiyalar!$J:$J,Operatsiyalar!$C:$C,A187,Operatsiyalar!$E:$E,"kirim"))</f>
        <v/>
      </c>
      <c r="H184" s="8">
        <f>IF(A187="","",SUMIFS(Operatsiyalar!$I:$I,Operatsiyalar!$C:$C,A187,Operatsiyalar!$E:$E,"chiqim"))</f>
        <v/>
      </c>
      <c r="I184" s="8">
        <f>IF(A187="","",SUMIFS(Operatsiyalar!$J:$J,Operatsiyalar!$C:$C,A187,Operatsiyalar!$E:$E,"chiqim"))</f>
        <v/>
      </c>
      <c r="J184" s="8">
        <f>IF(A187="","",D187+H187-F187)</f>
        <v/>
      </c>
      <c r="K184" s="8">
        <f>IF(A187="","",E187+I187-G187)</f>
        <v/>
      </c>
    </row>
    <row r="185">
      <c r="A185" s="5" t="n"/>
      <c r="B185" s="5" t="n"/>
      <c r="C185" s="6" t="n"/>
      <c r="D185" s="8" t="n"/>
      <c r="E185" s="8" t="n"/>
      <c r="F185" s="8">
        <f>IF(A188="","",SUMIFS(Operatsiyalar!$I:$I,Operatsiyalar!$C:$C,A188,Operatsiyalar!$E:$E,"kirim"))</f>
        <v/>
      </c>
      <c r="G185" s="8">
        <f>IF(A188="","",SUMIFS(Operatsiyalar!$J:$J,Operatsiyalar!$C:$C,A188,Operatsiyalar!$E:$E,"kirim"))</f>
        <v/>
      </c>
      <c r="H185" s="8">
        <f>IF(A188="","",SUMIFS(Operatsiyalar!$I:$I,Operatsiyalar!$C:$C,A188,Operatsiyalar!$E:$E,"chiqim"))</f>
        <v/>
      </c>
      <c r="I185" s="8">
        <f>IF(A188="","",SUMIFS(Operatsiyalar!$J:$J,Operatsiyalar!$C:$C,A188,Operatsiyalar!$E:$E,"chiqim"))</f>
        <v/>
      </c>
      <c r="J185" s="8">
        <f>IF(A188="","",D188+H188-F188)</f>
        <v/>
      </c>
      <c r="K185" s="8">
        <f>IF(A188="","",E188+I188-G188)</f>
        <v/>
      </c>
    </row>
    <row r="186">
      <c r="A186" s="5" t="n"/>
      <c r="B186" s="5" t="n"/>
      <c r="C186" s="6" t="n"/>
      <c r="D186" s="8" t="n"/>
      <c r="E186" s="8" t="n"/>
      <c r="F186" s="8">
        <f>IF(A189="","",SUMIFS(Operatsiyalar!$I:$I,Operatsiyalar!$C:$C,A189,Operatsiyalar!$E:$E,"kirim"))</f>
        <v/>
      </c>
      <c r="G186" s="8">
        <f>IF(A189="","",SUMIFS(Operatsiyalar!$J:$J,Operatsiyalar!$C:$C,A189,Operatsiyalar!$E:$E,"kirim"))</f>
        <v/>
      </c>
      <c r="H186" s="8">
        <f>IF(A189="","",SUMIFS(Operatsiyalar!$I:$I,Operatsiyalar!$C:$C,A189,Operatsiyalar!$E:$E,"chiqim"))</f>
        <v/>
      </c>
      <c r="I186" s="8">
        <f>IF(A189="","",SUMIFS(Operatsiyalar!$J:$J,Operatsiyalar!$C:$C,A189,Operatsiyalar!$E:$E,"chiqim"))</f>
        <v/>
      </c>
      <c r="J186" s="8">
        <f>IF(A189="","",D189+H189-F189)</f>
        <v/>
      </c>
      <c r="K186" s="8">
        <f>IF(A189="","",E189+I189-G189)</f>
        <v/>
      </c>
    </row>
    <row r="187">
      <c r="A187" s="5" t="n"/>
      <c r="B187" s="5" t="n"/>
      <c r="C187" s="6" t="n"/>
      <c r="D187" s="8" t="n"/>
      <c r="E187" s="8" t="n"/>
      <c r="F187" s="8">
        <f>IF(A190="","",SUMIFS(Operatsiyalar!$I:$I,Operatsiyalar!$C:$C,A190,Operatsiyalar!$E:$E,"kirim"))</f>
        <v/>
      </c>
      <c r="G187" s="8">
        <f>IF(A190="","",SUMIFS(Operatsiyalar!$J:$J,Operatsiyalar!$C:$C,A190,Operatsiyalar!$E:$E,"kirim"))</f>
        <v/>
      </c>
      <c r="H187" s="8">
        <f>IF(A190="","",SUMIFS(Operatsiyalar!$I:$I,Operatsiyalar!$C:$C,A190,Operatsiyalar!$E:$E,"chiqim"))</f>
        <v/>
      </c>
      <c r="I187" s="8">
        <f>IF(A190="","",SUMIFS(Operatsiyalar!$J:$J,Operatsiyalar!$C:$C,A190,Operatsiyalar!$E:$E,"chiqim"))</f>
        <v/>
      </c>
      <c r="J187" s="8">
        <f>IF(A190="","",D190+H190-F190)</f>
        <v/>
      </c>
      <c r="K187" s="8">
        <f>IF(A190="","",E190+I190-G190)</f>
        <v/>
      </c>
    </row>
    <row r="188">
      <c r="A188" s="5" t="n"/>
      <c r="B188" s="5" t="n"/>
      <c r="C188" s="6" t="n"/>
      <c r="D188" s="8" t="n"/>
      <c r="E188" s="8" t="n"/>
      <c r="F188" s="8">
        <f>IF(A191="","",SUMIFS(Operatsiyalar!$I:$I,Operatsiyalar!$C:$C,A191,Operatsiyalar!$E:$E,"kirim"))</f>
        <v/>
      </c>
      <c r="G188" s="8">
        <f>IF(A191="","",SUMIFS(Operatsiyalar!$J:$J,Operatsiyalar!$C:$C,A191,Operatsiyalar!$E:$E,"kirim"))</f>
        <v/>
      </c>
      <c r="H188" s="8">
        <f>IF(A191="","",SUMIFS(Operatsiyalar!$I:$I,Operatsiyalar!$C:$C,A191,Operatsiyalar!$E:$E,"chiqim"))</f>
        <v/>
      </c>
      <c r="I188" s="8">
        <f>IF(A191="","",SUMIFS(Operatsiyalar!$J:$J,Operatsiyalar!$C:$C,A191,Operatsiyalar!$E:$E,"chiqim"))</f>
        <v/>
      </c>
      <c r="J188" s="8">
        <f>IF(A191="","",D191+H191-F191)</f>
        <v/>
      </c>
      <c r="K188" s="8">
        <f>IF(A191="","",E191+I191-G191)</f>
        <v/>
      </c>
    </row>
    <row r="189">
      <c r="A189" s="5" t="n"/>
      <c r="B189" s="5" t="n"/>
      <c r="C189" s="6" t="n"/>
      <c r="D189" s="8" t="n"/>
      <c r="E189" s="8" t="n"/>
      <c r="F189" s="8">
        <f>IF(A192="","",SUMIFS(Operatsiyalar!$I:$I,Operatsiyalar!$C:$C,A192,Operatsiyalar!$E:$E,"kirim"))</f>
        <v/>
      </c>
      <c r="G189" s="8">
        <f>IF(A192="","",SUMIFS(Operatsiyalar!$J:$J,Operatsiyalar!$C:$C,A192,Operatsiyalar!$E:$E,"kirim"))</f>
        <v/>
      </c>
      <c r="H189" s="8">
        <f>IF(A192="","",SUMIFS(Operatsiyalar!$I:$I,Operatsiyalar!$C:$C,A192,Operatsiyalar!$E:$E,"chiqim"))</f>
        <v/>
      </c>
      <c r="I189" s="8">
        <f>IF(A192="","",SUMIFS(Operatsiyalar!$J:$J,Operatsiyalar!$C:$C,A192,Operatsiyalar!$E:$E,"chiqim"))</f>
        <v/>
      </c>
      <c r="J189" s="8">
        <f>IF(A192="","",D192+H192-F192)</f>
        <v/>
      </c>
      <c r="K189" s="8">
        <f>IF(A192="","",E192+I192-G192)</f>
        <v/>
      </c>
    </row>
    <row r="190">
      <c r="A190" s="5" t="n"/>
      <c r="B190" s="5" t="n"/>
      <c r="C190" s="6" t="n"/>
      <c r="D190" s="8" t="n"/>
      <c r="E190" s="8" t="n"/>
      <c r="F190" s="8">
        <f>IF(A193="","",SUMIFS(Operatsiyalar!$I:$I,Operatsiyalar!$C:$C,A193,Operatsiyalar!$E:$E,"kirim"))</f>
        <v/>
      </c>
      <c r="G190" s="8">
        <f>IF(A193="","",SUMIFS(Operatsiyalar!$J:$J,Operatsiyalar!$C:$C,A193,Operatsiyalar!$E:$E,"kirim"))</f>
        <v/>
      </c>
      <c r="H190" s="8">
        <f>IF(A193="","",SUMIFS(Operatsiyalar!$I:$I,Operatsiyalar!$C:$C,A193,Operatsiyalar!$E:$E,"chiqim"))</f>
        <v/>
      </c>
      <c r="I190" s="8">
        <f>IF(A193="","",SUMIFS(Operatsiyalar!$J:$J,Operatsiyalar!$C:$C,A193,Operatsiyalar!$E:$E,"chiqim"))</f>
        <v/>
      </c>
      <c r="J190" s="8">
        <f>IF(A193="","",D193+H193-F193)</f>
        <v/>
      </c>
      <c r="K190" s="8">
        <f>IF(A193="","",E193+I193-G193)</f>
        <v/>
      </c>
    </row>
    <row r="191">
      <c r="A191" s="5" t="n"/>
      <c r="B191" s="5" t="n"/>
      <c r="C191" s="6" t="n"/>
      <c r="D191" s="8" t="n"/>
      <c r="E191" s="8" t="n"/>
      <c r="F191" s="8">
        <f>IF(A194="","",SUMIFS(Operatsiyalar!$I:$I,Operatsiyalar!$C:$C,A194,Operatsiyalar!$E:$E,"kirim"))</f>
        <v/>
      </c>
      <c r="G191" s="8">
        <f>IF(A194="","",SUMIFS(Operatsiyalar!$J:$J,Operatsiyalar!$C:$C,A194,Operatsiyalar!$E:$E,"kirim"))</f>
        <v/>
      </c>
      <c r="H191" s="8">
        <f>IF(A194="","",SUMIFS(Operatsiyalar!$I:$I,Operatsiyalar!$C:$C,A194,Operatsiyalar!$E:$E,"chiqim"))</f>
        <v/>
      </c>
      <c r="I191" s="8">
        <f>IF(A194="","",SUMIFS(Operatsiyalar!$J:$J,Operatsiyalar!$C:$C,A194,Operatsiyalar!$E:$E,"chiqim"))</f>
        <v/>
      </c>
      <c r="J191" s="8">
        <f>IF(A194="","",D194+H194-F194)</f>
        <v/>
      </c>
      <c r="K191" s="8">
        <f>IF(A194="","",E194+I194-G194)</f>
        <v/>
      </c>
    </row>
    <row r="192">
      <c r="A192" s="5" t="n"/>
      <c r="B192" s="5" t="n"/>
      <c r="C192" s="6" t="n"/>
      <c r="D192" s="8" t="n"/>
      <c r="E192" s="8" t="n"/>
      <c r="F192" s="8">
        <f>IF(A195="","",SUMIFS(Operatsiyalar!$I:$I,Operatsiyalar!$C:$C,A195,Operatsiyalar!$E:$E,"kirim"))</f>
        <v/>
      </c>
      <c r="G192" s="8">
        <f>IF(A195="","",SUMIFS(Operatsiyalar!$J:$J,Operatsiyalar!$C:$C,A195,Operatsiyalar!$E:$E,"kirim"))</f>
        <v/>
      </c>
      <c r="H192" s="8">
        <f>IF(A195="","",SUMIFS(Operatsiyalar!$I:$I,Operatsiyalar!$C:$C,A195,Operatsiyalar!$E:$E,"chiqim"))</f>
        <v/>
      </c>
      <c r="I192" s="8">
        <f>IF(A195="","",SUMIFS(Operatsiyalar!$J:$J,Operatsiyalar!$C:$C,A195,Operatsiyalar!$E:$E,"chiqim"))</f>
        <v/>
      </c>
      <c r="J192" s="8">
        <f>IF(A195="","",D195+H195-F195)</f>
        <v/>
      </c>
      <c r="K192" s="8">
        <f>IF(A195="","",E195+I195-G195)</f>
        <v/>
      </c>
    </row>
    <row r="193">
      <c r="A193" s="5" t="n"/>
      <c r="B193" s="5" t="n"/>
      <c r="C193" s="6" t="n"/>
      <c r="D193" s="8" t="n"/>
      <c r="E193" s="8" t="n"/>
      <c r="F193" s="8">
        <f>IF(A196="","",SUMIFS(Operatsiyalar!$I:$I,Operatsiyalar!$C:$C,A196,Operatsiyalar!$E:$E,"kirim"))</f>
        <v/>
      </c>
      <c r="G193" s="8">
        <f>IF(A196="","",SUMIFS(Operatsiyalar!$J:$J,Operatsiyalar!$C:$C,A196,Operatsiyalar!$E:$E,"kirim"))</f>
        <v/>
      </c>
      <c r="H193" s="8">
        <f>IF(A196="","",SUMIFS(Operatsiyalar!$I:$I,Operatsiyalar!$C:$C,A196,Operatsiyalar!$E:$E,"chiqim"))</f>
        <v/>
      </c>
      <c r="I193" s="8">
        <f>IF(A196="","",SUMIFS(Operatsiyalar!$J:$J,Operatsiyalar!$C:$C,A196,Operatsiyalar!$E:$E,"chiqim"))</f>
        <v/>
      </c>
      <c r="J193" s="8">
        <f>IF(A196="","",D196+H196-F196)</f>
        <v/>
      </c>
      <c r="K193" s="8">
        <f>IF(A196="","",E196+I196-G196)</f>
        <v/>
      </c>
    </row>
    <row r="194">
      <c r="A194" s="5" t="n"/>
      <c r="B194" s="5" t="n"/>
      <c r="C194" s="6" t="n"/>
      <c r="D194" s="8" t="n"/>
      <c r="E194" s="8" t="n"/>
      <c r="F194" s="8">
        <f>IF(A197="","",SUMIFS(Operatsiyalar!$I:$I,Operatsiyalar!$C:$C,A197,Operatsiyalar!$E:$E,"kirim"))</f>
        <v/>
      </c>
      <c r="G194" s="8">
        <f>IF(A197="","",SUMIFS(Operatsiyalar!$J:$J,Operatsiyalar!$C:$C,A197,Operatsiyalar!$E:$E,"kirim"))</f>
        <v/>
      </c>
      <c r="H194" s="8">
        <f>IF(A197="","",SUMIFS(Operatsiyalar!$I:$I,Operatsiyalar!$C:$C,A197,Operatsiyalar!$E:$E,"chiqim"))</f>
        <v/>
      </c>
      <c r="I194" s="8">
        <f>IF(A197="","",SUMIFS(Operatsiyalar!$J:$J,Operatsiyalar!$C:$C,A197,Operatsiyalar!$E:$E,"chiqim"))</f>
        <v/>
      </c>
      <c r="J194" s="8">
        <f>IF(A197="","",D197+H197-F197)</f>
        <v/>
      </c>
      <c r="K194" s="8">
        <f>IF(A197="","",E197+I197-G197)</f>
        <v/>
      </c>
    </row>
    <row r="195">
      <c r="A195" s="5" t="n"/>
      <c r="B195" s="5" t="n"/>
      <c r="C195" s="6" t="n"/>
      <c r="D195" s="8" t="n"/>
      <c r="E195" s="8" t="n"/>
      <c r="F195" s="8">
        <f>IF(A198="","",SUMIFS(Operatsiyalar!$I:$I,Operatsiyalar!$C:$C,A198,Operatsiyalar!$E:$E,"kirim"))</f>
        <v/>
      </c>
      <c r="G195" s="8">
        <f>IF(A198="","",SUMIFS(Operatsiyalar!$J:$J,Operatsiyalar!$C:$C,A198,Operatsiyalar!$E:$E,"kirim"))</f>
        <v/>
      </c>
      <c r="H195" s="8">
        <f>IF(A198="","",SUMIFS(Operatsiyalar!$I:$I,Operatsiyalar!$C:$C,A198,Operatsiyalar!$E:$E,"chiqim"))</f>
        <v/>
      </c>
      <c r="I195" s="8">
        <f>IF(A198="","",SUMIFS(Operatsiyalar!$J:$J,Operatsiyalar!$C:$C,A198,Operatsiyalar!$E:$E,"chiqim"))</f>
        <v/>
      </c>
      <c r="J195" s="8">
        <f>IF(A198="","",D198+H198-F198)</f>
        <v/>
      </c>
      <c r="K195" s="8">
        <f>IF(A198="","",E198+I198-G198)</f>
        <v/>
      </c>
    </row>
    <row r="196">
      <c r="A196" s="5" t="n"/>
      <c r="B196" s="5" t="n"/>
      <c r="C196" s="6" t="n"/>
      <c r="D196" s="8" t="n"/>
      <c r="E196" s="8" t="n"/>
      <c r="F196" s="8">
        <f>IF(A199="","",SUMIFS(Operatsiyalar!$I:$I,Operatsiyalar!$C:$C,A199,Operatsiyalar!$E:$E,"kirim"))</f>
        <v/>
      </c>
      <c r="G196" s="8">
        <f>IF(A199="","",SUMIFS(Operatsiyalar!$J:$J,Operatsiyalar!$C:$C,A199,Operatsiyalar!$E:$E,"kirim"))</f>
        <v/>
      </c>
      <c r="H196" s="8">
        <f>IF(A199="","",SUMIFS(Operatsiyalar!$I:$I,Operatsiyalar!$C:$C,A199,Operatsiyalar!$E:$E,"chiqim"))</f>
        <v/>
      </c>
      <c r="I196" s="8">
        <f>IF(A199="","",SUMIFS(Operatsiyalar!$J:$J,Operatsiyalar!$C:$C,A199,Operatsiyalar!$E:$E,"chiqim"))</f>
        <v/>
      </c>
      <c r="J196" s="8">
        <f>IF(A199="","",D199+H199-F199)</f>
        <v/>
      </c>
      <c r="K196" s="8">
        <f>IF(A199="","",E199+I199-G199)</f>
        <v/>
      </c>
    </row>
    <row r="197">
      <c r="A197" s="5" t="n"/>
      <c r="B197" s="5" t="n"/>
      <c r="C197" s="6" t="n"/>
      <c r="D197" s="8" t="n"/>
      <c r="E197" s="8" t="n"/>
      <c r="F197" s="8">
        <f>IF(A200="","",SUMIFS(Operatsiyalar!$I:$I,Operatsiyalar!$C:$C,A200,Operatsiyalar!$E:$E,"kirim"))</f>
        <v/>
      </c>
      <c r="G197" s="8">
        <f>IF(A200="","",SUMIFS(Operatsiyalar!$J:$J,Operatsiyalar!$C:$C,A200,Operatsiyalar!$E:$E,"kirim"))</f>
        <v/>
      </c>
      <c r="H197" s="8">
        <f>IF(A200="","",SUMIFS(Operatsiyalar!$I:$I,Operatsiyalar!$C:$C,A200,Operatsiyalar!$E:$E,"chiqim"))</f>
        <v/>
      </c>
      <c r="I197" s="8">
        <f>IF(A200="","",SUMIFS(Operatsiyalar!$J:$J,Operatsiyalar!$C:$C,A200,Operatsiyalar!$E:$E,"chiqim"))</f>
        <v/>
      </c>
      <c r="J197" s="8">
        <f>IF(A200="","",D200+H200-F200)</f>
        <v/>
      </c>
      <c r="K197" s="8">
        <f>IF(A200="","",E200+I200-G200)</f>
        <v/>
      </c>
    </row>
    <row r="198">
      <c r="A198" s="5" t="n"/>
      <c r="B198" s="5" t="n"/>
      <c r="C198" s="6" t="n"/>
      <c r="D198" s="8" t="n"/>
      <c r="E198" s="8" t="n"/>
      <c r="F198" s="8">
        <f>IF(A201="","",SUMIFS(Operatsiyalar!$I:$I,Operatsiyalar!$C:$C,A201,Operatsiyalar!$E:$E,"kirim"))</f>
        <v/>
      </c>
      <c r="G198" s="8">
        <f>IF(A201="","",SUMIFS(Operatsiyalar!$J:$J,Operatsiyalar!$C:$C,A201,Operatsiyalar!$E:$E,"kirim"))</f>
        <v/>
      </c>
      <c r="H198" s="8">
        <f>IF(A201="","",SUMIFS(Operatsiyalar!$I:$I,Operatsiyalar!$C:$C,A201,Operatsiyalar!$E:$E,"chiqim"))</f>
        <v/>
      </c>
      <c r="I198" s="8">
        <f>IF(A201="","",SUMIFS(Operatsiyalar!$J:$J,Operatsiyalar!$C:$C,A201,Operatsiyalar!$E:$E,"chiqim"))</f>
        <v/>
      </c>
      <c r="J198" s="8">
        <f>IF(A201="","",D201+H201-F201)</f>
        <v/>
      </c>
      <c r="K198" s="8">
        <f>IF(A201="","",E201+I201-G201)</f>
        <v/>
      </c>
    </row>
    <row r="199">
      <c r="A199" s="5" t="n"/>
      <c r="B199" s="5" t="n"/>
      <c r="C199" s="6" t="n"/>
      <c r="D199" s="8" t="n"/>
      <c r="E199" s="8" t="n"/>
      <c r="F199" s="8">
        <f>IF(A202="","",SUMIFS(Operatsiyalar!$I:$I,Operatsiyalar!$C:$C,A202,Operatsiyalar!$E:$E,"kirim"))</f>
        <v/>
      </c>
      <c r="G199" s="8">
        <f>IF(A202="","",SUMIFS(Operatsiyalar!$J:$J,Operatsiyalar!$C:$C,A202,Operatsiyalar!$E:$E,"kirim"))</f>
        <v/>
      </c>
      <c r="H199" s="8">
        <f>IF(A202="","",SUMIFS(Operatsiyalar!$I:$I,Operatsiyalar!$C:$C,A202,Operatsiyalar!$E:$E,"chiqim"))</f>
        <v/>
      </c>
      <c r="I199" s="8">
        <f>IF(A202="","",SUMIFS(Operatsiyalar!$J:$J,Operatsiyalar!$C:$C,A202,Operatsiyalar!$E:$E,"chiqim"))</f>
        <v/>
      </c>
      <c r="J199" s="8">
        <f>IF(A202="","",D202+H202-F202)</f>
        <v/>
      </c>
      <c r="K199" s="8">
        <f>IF(A202="","",E202+I202-G202)</f>
        <v/>
      </c>
    </row>
    <row r="200">
      <c r="A200" s="5" t="n"/>
      <c r="B200" s="5" t="n"/>
      <c r="C200" s="6" t="n"/>
      <c r="D200" s="8" t="n"/>
      <c r="E200" s="8" t="n"/>
      <c r="F200" s="8">
        <f>IF(A203="","",SUMIFS(Operatsiyalar!$I:$I,Operatsiyalar!$C:$C,A203,Operatsiyalar!$E:$E,"kirim"))</f>
        <v/>
      </c>
      <c r="G200" s="8">
        <f>IF(A203="","",SUMIFS(Operatsiyalar!$J:$J,Operatsiyalar!$C:$C,A203,Operatsiyalar!$E:$E,"kirim"))</f>
        <v/>
      </c>
      <c r="H200" s="8">
        <f>IF(A203="","",SUMIFS(Operatsiyalar!$I:$I,Operatsiyalar!$C:$C,A203,Operatsiyalar!$E:$E,"chiqim"))</f>
        <v/>
      </c>
      <c r="I200" s="8">
        <f>IF(A203="","",SUMIFS(Operatsiyalar!$J:$J,Operatsiyalar!$C:$C,A203,Operatsiyalar!$E:$E,"chiqim"))</f>
        <v/>
      </c>
      <c r="J200" s="8">
        <f>IF(A203="","",D203+H203-F203)</f>
        <v/>
      </c>
      <c r="K200" s="8">
        <f>IF(A203="","",E203+I203-G203)</f>
        <v/>
      </c>
    </row>
    <row r="201">
      <c r="A201" s="5" t="n"/>
      <c r="B201" s="5" t="n"/>
      <c r="C201" s="6" t="n"/>
      <c r="D201" s="8" t="n"/>
      <c r="E201" s="8" t="n"/>
      <c r="F201" s="8">
        <f>IF(A204="","",SUMIFS(Operatsiyalar!$I:$I,Operatsiyalar!$C:$C,A204,Operatsiyalar!$E:$E,"kirim"))</f>
        <v/>
      </c>
      <c r="G201" s="8">
        <f>IF(A204="","",SUMIFS(Operatsiyalar!$J:$J,Operatsiyalar!$C:$C,A204,Operatsiyalar!$E:$E,"kirim"))</f>
        <v/>
      </c>
      <c r="H201" s="8">
        <f>IF(A204="","",SUMIFS(Operatsiyalar!$I:$I,Operatsiyalar!$C:$C,A204,Operatsiyalar!$E:$E,"chiqim"))</f>
        <v/>
      </c>
      <c r="I201" s="8">
        <f>IF(A204="","",SUMIFS(Operatsiyalar!$J:$J,Operatsiyalar!$C:$C,A204,Operatsiyalar!$E:$E,"chiqim"))</f>
        <v/>
      </c>
      <c r="J201" s="8">
        <f>IF(A204="","",D204+H204-F204)</f>
        <v/>
      </c>
      <c r="K201" s="8">
        <f>IF(A204="","",E204+I204-G204)</f>
        <v/>
      </c>
    </row>
    <row r="202">
      <c r="A202" s="5" t="n"/>
      <c r="B202" s="5" t="n"/>
      <c r="C202" s="6" t="n"/>
      <c r="D202" s="8" t="n"/>
      <c r="E202" s="8" t="n"/>
      <c r="F202" s="8">
        <f>IF(A205="","",SUMIFS(Operatsiyalar!$I:$I,Operatsiyalar!$C:$C,A205,Operatsiyalar!$E:$E,"kirim"))</f>
        <v/>
      </c>
      <c r="G202" s="8">
        <f>IF(A205="","",SUMIFS(Operatsiyalar!$J:$J,Operatsiyalar!$C:$C,A205,Operatsiyalar!$E:$E,"kirim"))</f>
        <v/>
      </c>
      <c r="H202" s="8">
        <f>IF(A205="","",SUMIFS(Operatsiyalar!$I:$I,Operatsiyalar!$C:$C,A205,Operatsiyalar!$E:$E,"chiqim"))</f>
        <v/>
      </c>
      <c r="I202" s="8">
        <f>IF(A205="","",SUMIFS(Operatsiyalar!$J:$J,Operatsiyalar!$C:$C,A205,Operatsiyalar!$E:$E,"chiqim"))</f>
        <v/>
      </c>
      <c r="J202" s="8">
        <f>IF(A205="","",D205+H205-F205)</f>
        <v/>
      </c>
      <c r="K202" s="8">
        <f>IF(A205="","",E205+I205-G205)</f>
        <v/>
      </c>
    </row>
    <row r="203">
      <c r="A203" s="5" t="n"/>
      <c r="B203" s="5" t="n"/>
      <c r="C203" s="6" t="n"/>
      <c r="D203" s="8" t="n"/>
      <c r="E203" s="8" t="n"/>
      <c r="F203" s="8">
        <f>IF(A206="","",SUMIFS(Operatsiyalar!$I:$I,Operatsiyalar!$C:$C,A206,Operatsiyalar!$E:$E,"kirim"))</f>
        <v/>
      </c>
      <c r="G203" s="8">
        <f>IF(A206="","",SUMIFS(Operatsiyalar!$J:$J,Operatsiyalar!$C:$C,A206,Operatsiyalar!$E:$E,"kirim"))</f>
        <v/>
      </c>
      <c r="H203" s="8">
        <f>IF(A206="","",SUMIFS(Operatsiyalar!$I:$I,Operatsiyalar!$C:$C,A206,Operatsiyalar!$E:$E,"chiqim"))</f>
        <v/>
      </c>
      <c r="I203" s="8">
        <f>IF(A206="","",SUMIFS(Operatsiyalar!$J:$J,Operatsiyalar!$C:$C,A206,Operatsiyalar!$E:$E,"chiqim"))</f>
        <v/>
      </c>
      <c r="J203" s="8">
        <f>IF(A206="","",D206+H206-F206)</f>
        <v/>
      </c>
      <c r="K203" s="8">
        <f>IF(A206="","",E206+I206-G206)</f>
        <v/>
      </c>
    </row>
    <row r="204">
      <c r="A204" s="5" t="n"/>
      <c r="B204" s="5" t="n"/>
      <c r="C204" s="6" t="n"/>
      <c r="D204" s="8" t="n"/>
      <c r="E204" s="8" t="n"/>
      <c r="F204" s="8">
        <f>IF(A207="","",SUMIFS(Operatsiyalar!$I:$I,Operatsiyalar!$C:$C,A207,Operatsiyalar!$E:$E,"kirim"))</f>
        <v/>
      </c>
      <c r="G204" s="8">
        <f>IF(A207="","",SUMIFS(Operatsiyalar!$J:$J,Operatsiyalar!$C:$C,A207,Operatsiyalar!$E:$E,"kirim"))</f>
        <v/>
      </c>
      <c r="H204" s="8">
        <f>IF(A207="","",SUMIFS(Operatsiyalar!$I:$I,Operatsiyalar!$C:$C,A207,Operatsiyalar!$E:$E,"chiqim"))</f>
        <v/>
      </c>
      <c r="I204" s="8">
        <f>IF(A207="","",SUMIFS(Operatsiyalar!$J:$J,Operatsiyalar!$C:$C,A207,Operatsiyalar!$E:$E,"chiqim"))</f>
        <v/>
      </c>
      <c r="J204" s="8">
        <f>IF(A207="","",D207+H207-F207)</f>
        <v/>
      </c>
      <c r="K204" s="8">
        <f>IF(A207="","",E207+I207-G207)</f>
        <v/>
      </c>
    </row>
    <row r="205">
      <c r="A205" s="5" t="n"/>
      <c r="B205" s="5" t="n"/>
      <c r="C205" s="6" t="n"/>
      <c r="D205" s="8" t="n"/>
      <c r="E205" s="8" t="n"/>
      <c r="F205" s="8">
        <f>IF(A208="","",SUMIFS(Operatsiyalar!$I:$I,Operatsiyalar!$C:$C,A208,Operatsiyalar!$E:$E,"kirim"))</f>
        <v/>
      </c>
      <c r="G205" s="8">
        <f>IF(A208="","",SUMIFS(Operatsiyalar!$J:$J,Operatsiyalar!$C:$C,A208,Operatsiyalar!$E:$E,"kirim"))</f>
        <v/>
      </c>
      <c r="H205" s="8">
        <f>IF(A208="","",SUMIFS(Operatsiyalar!$I:$I,Operatsiyalar!$C:$C,A208,Operatsiyalar!$E:$E,"chiqim"))</f>
        <v/>
      </c>
      <c r="I205" s="8">
        <f>IF(A208="","",SUMIFS(Operatsiyalar!$J:$J,Operatsiyalar!$C:$C,A208,Operatsiyalar!$E:$E,"chiqim"))</f>
        <v/>
      </c>
      <c r="J205" s="8">
        <f>IF(A208="","",D208+H208-F208)</f>
        <v/>
      </c>
      <c r="K205" s="8">
        <f>IF(A208="","",E208+I208-G208)</f>
        <v/>
      </c>
    </row>
    <row r="206">
      <c r="A206" s="5" t="n"/>
      <c r="B206" s="5" t="n"/>
      <c r="C206" s="6" t="n"/>
      <c r="D206" s="8" t="n"/>
      <c r="E206" s="8" t="n"/>
      <c r="F206" s="8">
        <f>IF(A209="","",SUMIFS(Operatsiyalar!$I:$I,Operatsiyalar!$C:$C,A209,Operatsiyalar!$E:$E,"kirim"))</f>
        <v/>
      </c>
      <c r="G206" s="8">
        <f>IF(A209="","",SUMIFS(Operatsiyalar!$J:$J,Operatsiyalar!$C:$C,A209,Operatsiyalar!$E:$E,"kirim"))</f>
        <v/>
      </c>
      <c r="H206" s="8">
        <f>IF(A209="","",SUMIFS(Operatsiyalar!$I:$I,Operatsiyalar!$C:$C,A209,Operatsiyalar!$E:$E,"chiqim"))</f>
        <v/>
      </c>
      <c r="I206" s="8">
        <f>IF(A209="","",SUMIFS(Operatsiyalar!$J:$J,Operatsiyalar!$C:$C,A209,Operatsiyalar!$E:$E,"chiqim"))</f>
        <v/>
      </c>
      <c r="J206" s="8">
        <f>IF(A209="","",D209+H209-F209)</f>
        <v/>
      </c>
      <c r="K206" s="8">
        <f>IF(A209="","",E209+I209-G209)</f>
        <v/>
      </c>
    </row>
    <row r="207">
      <c r="A207" s="5" t="n"/>
      <c r="B207" s="5" t="n"/>
      <c r="C207" s="6" t="n"/>
      <c r="D207" s="8" t="n"/>
      <c r="E207" s="8" t="n"/>
      <c r="F207" s="8">
        <f>IF(A210="","",SUMIFS(Operatsiyalar!$I:$I,Operatsiyalar!$C:$C,A210,Operatsiyalar!$E:$E,"kirim"))</f>
        <v/>
      </c>
      <c r="G207" s="8">
        <f>IF(A210="","",SUMIFS(Operatsiyalar!$J:$J,Operatsiyalar!$C:$C,A210,Operatsiyalar!$E:$E,"kirim"))</f>
        <v/>
      </c>
      <c r="H207" s="8">
        <f>IF(A210="","",SUMIFS(Operatsiyalar!$I:$I,Operatsiyalar!$C:$C,A210,Operatsiyalar!$E:$E,"chiqim"))</f>
        <v/>
      </c>
      <c r="I207" s="8">
        <f>IF(A210="","",SUMIFS(Operatsiyalar!$J:$J,Operatsiyalar!$C:$C,A210,Operatsiyalar!$E:$E,"chiqim"))</f>
        <v/>
      </c>
      <c r="J207" s="8">
        <f>IF(A210="","",D210+H210-F210)</f>
        <v/>
      </c>
      <c r="K207" s="8">
        <f>IF(A210="","",E210+I210-G210)</f>
        <v/>
      </c>
    </row>
    <row r="208">
      <c r="A208" s="5" t="n"/>
      <c r="B208" s="5" t="n"/>
      <c r="C208" s="6" t="n"/>
      <c r="D208" s="8" t="n"/>
      <c r="E208" s="8" t="n"/>
      <c r="F208" s="8">
        <f>IF(A211="","",SUMIFS(Operatsiyalar!$I:$I,Operatsiyalar!$C:$C,A211,Operatsiyalar!$E:$E,"kirim"))</f>
        <v/>
      </c>
      <c r="G208" s="8">
        <f>IF(A211="","",SUMIFS(Operatsiyalar!$J:$J,Operatsiyalar!$C:$C,A211,Operatsiyalar!$E:$E,"kirim"))</f>
        <v/>
      </c>
      <c r="H208" s="8">
        <f>IF(A211="","",SUMIFS(Operatsiyalar!$I:$I,Operatsiyalar!$C:$C,A211,Operatsiyalar!$E:$E,"chiqim"))</f>
        <v/>
      </c>
      <c r="I208" s="8">
        <f>IF(A211="","",SUMIFS(Operatsiyalar!$J:$J,Operatsiyalar!$C:$C,A211,Operatsiyalar!$E:$E,"chiqim"))</f>
        <v/>
      </c>
      <c r="J208" s="8">
        <f>IF(A211="","",D211+H211-F211)</f>
        <v/>
      </c>
      <c r="K208" s="8">
        <f>IF(A211="","",E211+I211-G211)</f>
        <v/>
      </c>
    </row>
    <row r="209">
      <c r="A209" s="5" t="n"/>
      <c r="B209" s="5" t="n"/>
      <c r="C209" s="6" t="n"/>
      <c r="D209" s="8" t="n"/>
      <c r="E209" s="8" t="n"/>
      <c r="F209" s="8">
        <f>IF(A212="","",SUMIFS(Operatsiyalar!$I:$I,Operatsiyalar!$C:$C,A212,Operatsiyalar!$E:$E,"kirim"))</f>
        <v/>
      </c>
      <c r="G209" s="8">
        <f>IF(A212="","",SUMIFS(Operatsiyalar!$J:$J,Operatsiyalar!$C:$C,A212,Operatsiyalar!$E:$E,"kirim"))</f>
        <v/>
      </c>
      <c r="H209" s="8">
        <f>IF(A212="","",SUMIFS(Operatsiyalar!$I:$I,Operatsiyalar!$C:$C,A212,Operatsiyalar!$E:$E,"chiqim"))</f>
        <v/>
      </c>
      <c r="I209" s="8">
        <f>IF(A212="","",SUMIFS(Operatsiyalar!$J:$J,Operatsiyalar!$C:$C,A212,Operatsiyalar!$E:$E,"chiqim"))</f>
        <v/>
      </c>
      <c r="J209" s="8">
        <f>IF(A212="","",D212+H212-F212)</f>
        <v/>
      </c>
      <c r="K209" s="8">
        <f>IF(A212="","",E212+I212-G212)</f>
        <v/>
      </c>
    </row>
    <row r="210">
      <c r="A210" s="5" t="n"/>
      <c r="B210" s="5" t="n"/>
      <c r="C210" s="6" t="n"/>
      <c r="D210" s="8" t="n"/>
      <c r="E210" s="8" t="n"/>
      <c r="F210" s="8">
        <f>IF(A213="","",SUMIFS(Operatsiyalar!$I:$I,Operatsiyalar!$C:$C,A213,Operatsiyalar!$E:$E,"kirim"))</f>
        <v/>
      </c>
      <c r="G210" s="8">
        <f>IF(A213="","",SUMIFS(Operatsiyalar!$J:$J,Operatsiyalar!$C:$C,A213,Operatsiyalar!$E:$E,"kirim"))</f>
        <v/>
      </c>
      <c r="H210" s="8">
        <f>IF(A213="","",SUMIFS(Operatsiyalar!$I:$I,Operatsiyalar!$C:$C,A213,Operatsiyalar!$E:$E,"chiqim"))</f>
        <v/>
      </c>
      <c r="I210" s="8">
        <f>IF(A213="","",SUMIFS(Operatsiyalar!$J:$J,Operatsiyalar!$C:$C,A213,Operatsiyalar!$E:$E,"chiqim"))</f>
        <v/>
      </c>
      <c r="J210" s="8">
        <f>IF(A213="","",D213+H213-F213)</f>
        <v/>
      </c>
      <c r="K210" s="8">
        <f>IF(A213="","",E213+I213-G213)</f>
        <v/>
      </c>
    </row>
    <row r="211">
      <c r="A211" s="5" t="n"/>
      <c r="B211" s="5" t="n"/>
      <c r="C211" s="6" t="n"/>
      <c r="D211" s="8" t="n"/>
      <c r="E211" s="8" t="n"/>
      <c r="F211" s="8">
        <f>IF(A214="","",SUMIFS(Operatsiyalar!$I:$I,Operatsiyalar!$C:$C,A214,Operatsiyalar!$E:$E,"kirim"))</f>
        <v/>
      </c>
      <c r="G211" s="8">
        <f>IF(A214="","",SUMIFS(Operatsiyalar!$J:$J,Operatsiyalar!$C:$C,A214,Operatsiyalar!$E:$E,"kirim"))</f>
        <v/>
      </c>
      <c r="H211" s="8">
        <f>IF(A214="","",SUMIFS(Operatsiyalar!$I:$I,Operatsiyalar!$C:$C,A214,Operatsiyalar!$E:$E,"chiqim"))</f>
        <v/>
      </c>
      <c r="I211" s="8">
        <f>IF(A214="","",SUMIFS(Operatsiyalar!$J:$J,Operatsiyalar!$C:$C,A214,Operatsiyalar!$E:$E,"chiqim"))</f>
        <v/>
      </c>
      <c r="J211" s="8">
        <f>IF(A214="","",D214+H214-F214)</f>
        <v/>
      </c>
      <c r="K211" s="8">
        <f>IF(A214="","",E214+I214-G214)</f>
        <v/>
      </c>
    </row>
    <row r="212">
      <c r="A212" s="5" t="n"/>
      <c r="B212" s="5" t="n"/>
      <c r="C212" s="6" t="n"/>
      <c r="D212" s="8" t="n"/>
      <c r="E212" s="8" t="n"/>
      <c r="F212" s="8">
        <f>IF(A215="","",SUMIFS(Operatsiyalar!$I:$I,Operatsiyalar!$C:$C,A215,Operatsiyalar!$E:$E,"kirim"))</f>
        <v/>
      </c>
      <c r="G212" s="8">
        <f>IF(A215="","",SUMIFS(Operatsiyalar!$J:$J,Operatsiyalar!$C:$C,A215,Operatsiyalar!$E:$E,"kirim"))</f>
        <v/>
      </c>
      <c r="H212" s="8">
        <f>IF(A215="","",SUMIFS(Operatsiyalar!$I:$I,Operatsiyalar!$C:$C,A215,Operatsiyalar!$E:$E,"chiqim"))</f>
        <v/>
      </c>
      <c r="I212" s="8">
        <f>IF(A215="","",SUMIFS(Operatsiyalar!$J:$J,Operatsiyalar!$C:$C,A215,Operatsiyalar!$E:$E,"chiqim"))</f>
        <v/>
      </c>
      <c r="J212" s="8">
        <f>IF(A215="","",D215+H215-F215)</f>
        <v/>
      </c>
      <c r="K212" s="8">
        <f>IF(A215="","",E215+I215-G215)</f>
        <v/>
      </c>
    </row>
    <row r="213">
      <c r="A213" s="5" t="n"/>
      <c r="B213" s="5" t="n"/>
      <c r="C213" s="6" t="n"/>
      <c r="D213" s="8" t="n"/>
      <c r="E213" s="8" t="n"/>
      <c r="F213" s="8">
        <f>IF(A216="","",SUMIFS(Operatsiyalar!$I:$I,Operatsiyalar!$C:$C,A216,Operatsiyalar!$E:$E,"kirim"))</f>
        <v/>
      </c>
      <c r="G213" s="8">
        <f>IF(A216="","",SUMIFS(Operatsiyalar!$J:$J,Operatsiyalar!$C:$C,A216,Operatsiyalar!$E:$E,"kirim"))</f>
        <v/>
      </c>
      <c r="H213" s="8">
        <f>IF(A216="","",SUMIFS(Operatsiyalar!$I:$I,Operatsiyalar!$C:$C,A216,Operatsiyalar!$E:$E,"chiqim"))</f>
        <v/>
      </c>
      <c r="I213" s="8">
        <f>IF(A216="","",SUMIFS(Operatsiyalar!$J:$J,Operatsiyalar!$C:$C,A216,Operatsiyalar!$E:$E,"chiqim"))</f>
        <v/>
      </c>
      <c r="J213" s="8">
        <f>IF(A216="","",D216+H216-F216)</f>
        <v/>
      </c>
      <c r="K213" s="8">
        <f>IF(A216="","",E216+I216-G216)</f>
        <v/>
      </c>
    </row>
    <row r="214">
      <c r="A214" s="5" t="n"/>
      <c r="B214" s="5" t="n"/>
      <c r="C214" s="6" t="n"/>
      <c r="D214" s="8" t="n"/>
      <c r="E214" s="8" t="n"/>
      <c r="F214" s="8">
        <f>IF(A217="","",SUMIFS(Operatsiyalar!$I:$I,Operatsiyalar!$C:$C,A217,Operatsiyalar!$E:$E,"kirim"))</f>
        <v/>
      </c>
      <c r="G214" s="8">
        <f>IF(A217="","",SUMIFS(Operatsiyalar!$J:$J,Operatsiyalar!$C:$C,A217,Operatsiyalar!$E:$E,"kirim"))</f>
        <v/>
      </c>
      <c r="H214" s="8">
        <f>IF(A217="","",SUMIFS(Operatsiyalar!$I:$I,Operatsiyalar!$C:$C,A217,Operatsiyalar!$E:$E,"chiqim"))</f>
        <v/>
      </c>
      <c r="I214" s="8">
        <f>IF(A217="","",SUMIFS(Operatsiyalar!$J:$J,Operatsiyalar!$C:$C,A217,Operatsiyalar!$E:$E,"chiqim"))</f>
        <v/>
      </c>
      <c r="J214" s="8">
        <f>IF(A217="","",D217+H217-F217)</f>
        <v/>
      </c>
      <c r="K214" s="8">
        <f>IF(A217="","",E217+I217-G217)</f>
        <v/>
      </c>
    </row>
    <row r="215">
      <c r="A215" s="5" t="n"/>
      <c r="B215" s="5" t="n"/>
      <c r="C215" s="6" t="n"/>
      <c r="D215" s="8" t="n"/>
      <c r="E215" s="8" t="n"/>
      <c r="F215" s="8">
        <f>IF(A218="","",SUMIFS(Operatsiyalar!$I:$I,Operatsiyalar!$C:$C,A218,Operatsiyalar!$E:$E,"kirim"))</f>
        <v/>
      </c>
      <c r="G215" s="8">
        <f>IF(A218="","",SUMIFS(Operatsiyalar!$J:$J,Operatsiyalar!$C:$C,A218,Operatsiyalar!$E:$E,"kirim"))</f>
        <v/>
      </c>
      <c r="H215" s="8">
        <f>IF(A218="","",SUMIFS(Operatsiyalar!$I:$I,Operatsiyalar!$C:$C,A218,Operatsiyalar!$E:$E,"chiqim"))</f>
        <v/>
      </c>
      <c r="I215" s="8">
        <f>IF(A218="","",SUMIFS(Operatsiyalar!$J:$J,Operatsiyalar!$C:$C,A218,Operatsiyalar!$E:$E,"chiqim"))</f>
        <v/>
      </c>
      <c r="J215" s="8">
        <f>IF(A218="","",D218+H218-F218)</f>
        <v/>
      </c>
      <c r="K215" s="8">
        <f>IF(A218="","",E218+I218-G218)</f>
        <v/>
      </c>
    </row>
    <row r="216">
      <c r="A216" s="5" t="n"/>
      <c r="B216" s="5" t="n"/>
      <c r="C216" s="6" t="n"/>
      <c r="D216" s="8" t="n"/>
      <c r="E216" s="8" t="n"/>
      <c r="F216" s="8">
        <f>IF(A219="","",SUMIFS(Operatsiyalar!$I:$I,Operatsiyalar!$C:$C,A219,Operatsiyalar!$E:$E,"kirim"))</f>
        <v/>
      </c>
      <c r="G216" s="8">
        <f>IF(A219="","",SUMIFS(Operatsiyalar!$J:$J,Operatsiyalar!$C:$C,A219,Operatsiyalar!$E:$E,"kirim"))</f>
        <v/>
      </c>
      <c r="H216" s="8">
        <f>IF(A219="","",SUMIFS(Operatsiyalar!$I:$I,Operatsiyalar!$C:$C,A219,Operatsiyalar!$E:$E,"chiqim"))</f>
        <v/>
      </c>
      <c r="I216" s="8">
        <f>IF(A219="","",SUMIFS(Operatsiyalar!$J:$J,Operatsiyalar!$C:$C,A219,Operatsiyalar!$E:$E,"chiqim"))</f>
        <v/>
      </c>
      <c r="J216" s="8">
        <f>IF(A219="","",D219+H219-F219)</f>
        <v/>
      </c>
      <c r="K216" s="8">
        <f>IF(A219="","",E219+I219-G219)</f>
        <v/>
      </c>
    </row>
    <row r="217">
      <c r="A217" s="5" t="n"/>
      <c r="B217" s="5" t="n"/>
      <c r="C217" s="6" t="n"/>
      <c r="D217" s="8" t="n"/>
      <c r="E217" s="8" t="n"/>
      <c r="F217" s="8">
        <f>IF(A220="","",SUMIFS(Operatsiyalar!$I:$I,Operatsiyalar!$C:$C,A220,Operatsiyalar!$E:$E,"kirim"))</f>
        <v/>
      </c>
      <c r="G217" s="8">
        <f>IF(A220="","",SUMIFS(Operatsiyalar!$J:$J,Operatsiyalar!$C:$C,A220,Operatsiyalar!$E:$E,"kirim"))</f>
        <v/>
      </c>
      <c r="H217" s="8">
        <f>IF(A220="","",SUMIFS(Operatsiyalar!$I:$I,Operatsiyalar!$C:$C,A220,Operatsiyalar!$E:$E,"chiqim"))</f>
        <v/>
      </c>
      <c r="I217" s="8">
        <f>IF(A220="","",SUMIFS(Operatsiyalar!$J:$J,Operatsiyalar!$C:$C,A220,Operatsiyalar!$E:$E,"chiqim"))</f>
        <v/>
      </c>
      <c r="J217" s="8">
        <f>IF(A220="","",D220+H220-F220)</f>
        <v/>
      </c>
      <c r="K217" s="8">
        <f>IF(A220="","",E220+I220-G220)</f>
        <v/>
      </c>
    </row>
    <row r="218">
      <c r="A218" s="5" t="n"/>
      <c r="B218" s="5" t="n"/>
      <c r="C218" s="6" t="n"/>
      <c r="D218" s="8" t="n"/>
      <c r="E218" s="8" t="n"/>
      <c r="F218" s="8">
        <f>IF(A221="","",SUMIFS(Operatsiyalar!$I:$I,Operatsiyalar!$C:$C,A221,Operatsiyalar!$E:$E,"kirim"))</f>
        <v/>
      </c>
      <c r="G218" s="8">
        <f>IF(A221="","",SUMIFS(Operatsiyalar!$J:$J,Operatsiyalar!$C:$C,A221,Operatsiyalar!$E:$E,"kirim"))</f>
        <v/>
      </c>
      <c r="H218" s="8">
        <f>IF(A221="","",SUMIFS(Operatsiyalar!$I:$I,Operatsiyalar!$C:$C,A221,Operatsiyalar!$E:$E,"chiqim"))</f>
        <v/>
      </c>
      <c r="I218" s="8">
        <f>IF(A221="","",SUMIFS(Operatsiyalar!$J:$J,Operatsiyalar!$C:$C,A221,Operatsiyalar!$E:$E,"chiqim"))</f>
        <v/>
      </c>
      <c r="J218" s="8">
        <f>IF(A221="","",D221+H221-F221)</f>
        <v/>
      </c>
      <c r="K218" s="8">
        <f>IF(A221="","",E221+I221-G221)</f>
        <v/>
      </c>
    </row>
    <row r="219">
      <c r="A219" s="5" t="n"/>
      <c r="B219" s="5" t="n"/>
      <c r="C219" s="6" t="n"/>
      <c r="D219" s="8" t="n"/>
      <c r="E219" s="8" t="n"/>
      <c r="F219" s="8">
        <f>IF(A222="","",SUMIFS(Operatsiyalar!$I:$I,Operatsiyalar!$C:$C,A222,Operatsiyalar!$E:$E,"kirim"))</f>
        <v/>
      </c>
      <c r="G219" s="8">
        <f>IF(A222="","",SUMIFS(Operatsiyalar!$J:$J,Operatsiyalar!$C:$C,A222,Operatsiyalar!$E:$E,"kirim"))</f>
        <v/>
      </c>
      <c r="H219" s="8">
        <f>IF(A222="","",SUMIFS(Operatsiyalar!$I:$I,Operatsiyalar!$C:$C,A222,Operatsiyalar!$E:$E,"chiqim"))</f>
        <v/>
      </c>
      <c r="I219" s="8">
        <f>IF(A222="","",SUMIFS(Operatsiyalar!$J:$J,Operatsiyalar!$C:$C,A222,Operatsiyalar!$E:$E,"chiqim"))</f>
        <v/>
      </c>
      <c r="J219" s="8">
        <f>IF(A222="","",D222+H222-F222)</f>
        <v/>
      </c>
      <c r="K219" s="8">
        <f>IF(A222="","",E222+I222-G222)</f>
        <v/>
      </c>
    </row>
    <row r="220">
      <c r="A220" s="5" t="n"/>
      <c r="B220" s="5" t="n"/>
      <c r="C220" s="6" t="n"/>
      <c r="D220" s="8" t="n"/>
      <c r="E220" s="8" t="n"/>
      <c r="F220" s="8">
        <f>IF(A223="","",SUMIFS(Operatsiyalar!$I:$I,Operatsiyalar!$C:$C,A223,Operatsiyalar!$E:$E,"kirim"))</f>
        <v/>
      </c>
      <c r="G220" s="8">
        <f>IF(A223="","",SUMIFS(Operatsiyalar!$J:$J,Operatsiyalar!$C:$C,A223,Operatsiyalar!$E:$E,"kirim"))</f>
        <v/>
      </c>
      <c r="H220" s="8">
        <f>IF(A223="","",SUMIFS(Operatsiyalar!$I:$I,Operatsiyalar!$C:$C,A223,Operatsiyalar!$E:$E,"chiqim"))</f>
        <v/>
      </c>
      <c r="I220" s="8">
        <f>IF(A223="","",SUMIFS(Operatsiyalar!$J:$J,Operatsiyalar!$C:$C,A223,Operatsiyalar!$E:$E,"chiqim"))</f>
        <v/>
      </c>
      <c r="J220" s="8">
        <f>IF(A223="","",D223+H223-F223)</f>
        <v/>
      </c>
      <c r="K220" s="8">
        <f>IF(A223="","",E223+I223-G223)</f>
        <v/>
      </c>
    </row>
    <row r="221">
      <c r="A221" s="5" t="n"/>
      <c r="B221" s="5" t="n"/>
      <c r="C221" s="6" t="n"/>
      <c r="D221" s="8" t="n"/>
      <c r="E221" s="8" t="n"/>
      <c r="F221" s="8">
        <f>IF(A224="","",SUMIFS(Operatsiyalar!$I:$I,Operatsiyalar!$C:$C,A224,Operatsiyalar!$E:$E,"kirim"))</f>
        <v/>
      </c>
      <c r="G221" s="8">
        <f>IF(A224="","",SUMIFS(Operatsiyalar!$J:$J,Operatsiyalar!$C:$C,A224,Operatsiyalar!$E:$E,"kirim"))</f>
        <v/>
      </c>
      <c r="H221" s="8">
        <f>IF(A224="","",SUMIFS(Operatsiyalar!$I:$I,Operatsiyalar!$C:$C,A224,Operatsiyalar!$E:$E,"chiqim"))</f>
        <v/>
      </c>
      <c r="I221" s="8">
        <f>IF(A224="","",SUMIFS(Operatsiyalar!$J:$J,Operatsiyalar!$C:$C,A224,Operatsiyalar!$E:$E,"chiqim"))</f>
        <v/>
      </c>
      <c r="J221" s="8">
        <f>IF(A224="","",D224+H224-F224)</f>
        <v/>
      </c>
      <c r="K221" s="8">
        <f>IF(A224="","",E224+I224-G224)</f>
        <v/>
      </c>
    </row>
    <row r="222">
      <c r="A222" s="5" t="n"/>
      <c r="B222" s="5" t="n"/>
      <c r="C222" s="6" t="n"/>
      <c r="D222" s="8" t="n"/>
      <c r="E222" s="8" t="n"/>
      <c r="F222" s="8">
        <f>IF(A225="","",SUMIFS(Operatsiyalar!$I:$I,Operatsiyalar!$C:$C,A225,Operatsiyalar!$E:$E,"kirim"))</f>
        <v/>
      </c>
      <c r="G222" s="8">
        <f>IF(A225="","",SUMIFS(Operatsiyalar!$J:$J,Operatsiyalar!$C:$C,A225,Operatsiyalar!$E:$E,"kirim"))</f>
        <v/>
      </c>
      <c r="H222" s="8">
        <f>IF(A225="","",SUMIFS(Operatsiyalar!$I:$I,Operatsiyalar!$C:$C,A225,Operatsiyalar!$E:$E,"chiqim"))</f>
        <v/>
      </c>
      <c r="I222" s="8">
        <f>IF(A225="","",SUMIFS(Operatsiyalar!$J:$J,Operatsiyalar!$C:$C,A225,Operatsiyalar!$E:$E,"chiqim"))</f>
        <v/>
      </c>
      <c r="J222" s="8">
        <f>IF(A225="","",D225+H225-F225)</f>
        <v/>
      </c>
      <c r="K222" s="8">
        <f>IF(A225="","",E225+I225-G225)</f>
        <v/>
      </c>
    </row>
    <row r="223">
      <c r="A223" s="5" t="n"/>
      <c r="B223" s="5" t="n"/>
      <c r="C223" s="6" t="n"/>
      <c r="D223" s="8" t="n"/>
      <c r="E223" s="8" t="n"/>
      <c r="F223" s="8">
        <f>IF(A226="","",SUMIFS(Operatsiyalar!$I:$I,Operatsiyalar!$C:$C,A226,Operatsiyalar!$E:$E,"kirim"))</f>
        <v/>
      </c>
      <c r="G223" s="8">
        <f>IF(A226="","",SUMIFS(Operatsiyalar!$J:$J,Operatsiyalar!$C:$C,A226,Operatsiyalar!$E:$E,"kirim"))</f>
        <v/>
      </c>
      <c r="H223" s="8">
        <f>IF(A226="","",SUMIFS(Operatsiyalar!$I:$I,Operatsiyalar!$C:$C,A226,Operatsiyalar!$E:$E,"chiqim"))</f>
        <v/>
      </c>
      <c r="I223" s="8">
        <f>IF(A226="","",SUMIFS(Operatsiyalar!$J:$J,Operatsiyalar!$C:$C,A226,Operatsiyalar!$E:$E,"chiqim"))</f>
        <v/>
      </c>
      <c r="J223" s="8">
        <f>IF(A226="","",D226+H226-F226)</f>
        <v/>
      </c>
      <c r="K223" s="8">
        <f>IF(A226="","",E226+I226-G226)</f>
        <v/>
      </c>
    </row>
    <row r="224">
      <c r="A224" s="5" t="n"/>
      <c r="B224" s="5" t="n"/>
      <c r="C224" s="6" t="n"/>
      <c r="D224" s="8" t="n"/>
      <c r="E224" s="8" t="n"/>
      <c r="F224" s="8">
        <f>IF(A227="","",SUMIFS(Operatsiyalar!$I:$I,Operatsiyalar!$C:$C,A227,Operatsiyalar!$E:$E,"kirim"))</f>
        <v/>
      </c>
      <c r="G224" s="8">
        <f>IF(A227="","",SUMIFS(Operatsiyalar!$J:$J,Operatsiyalar!$C:$C,A227,Operatsiyalar!$E:$E,"kirim"))</f>
        <v/>
      </c>
      <c r="H224" s="8">
        <f>IF(A227="","",SUMIFS(Operatsiyalar!$I:$I,Operatsiyalar!$C:$C,A227,Operatsiyalar!$E:$E,"chiqim"))</f>
        <v/>
      </c>
      <c r="I224" s="8">
        <f>IF(A227="","",SUMIFS(Operatsiyalar!$J:$J,Operatsiyalar!$C:$C,A227,Operatsiyalar!$E:$E,"chiqim"))</f>
        <v/>
      </c>
      <c r="J224" s="8">
        <f>IF(A227="","",D227+H227-F227)</f>
        <v/>
      </c>
      <c r="K224" s="8">
        <f>IF(A227="","",E227+I227-G227)</f>
        <v/>
      </c>
    </row>
    <row r="225">
      <c r="A225" s="5" t="n"/>
      <c r="B225" s="5" t="n"/>
      <c r="C225" s="6" t="n"/>
      <c r="D225" s="8" t="n"/>
      <c r="E225" s="8" t="n"/>
      <c r="F225" s="8">
        <f>IF(A228="","",SUMIFS(Operatsiyalar!$I:$I,Operatsiyalar!$C:$C,A228,Operatsiyalar!$E:$E,"kirim"))</f>
        <v/>
      </c>
      <c r="G225" s="8">
        <f>IF(A228="","",SUMIFS(Operatsiyalar!$J:$J,Operatsiyalar!$C:$C,A228,Operatsiyalar!$E:$E,"kirim"))</f>
        <v/>
      </c>
      <c r="H225" s="8">
        <f>IF(A228="","",SUMIFS(Operatsiyalar!$I:$I,Operatsiyalar!$C:$C,A228,Operatsiyalar!$E:$E,"chiqim"))</f>
        <v/>
      </c>
      <c r="I225" s="8">
        <f>IF(A228="","",SUMIFS(Operatsiyalar!$J:$J,Operatsiyalar!$C:$C,A228,Operatsiyalar!$E:$E,"chiqim"))</f>
        <v/>
      </c>
      <c r="J225" s="8">
        <f>IF(A228="","",D228+H228-F228)</f>
        <v/>
      </c>
      <c r="K225" s="8">
        <f>IF(A228="","",E228+I228-G228)</f>
        <v/>
      </c>
    </row>
    <row r="226">
      <c r="A226" s="5" t="n"/>
      <c r="B226" s="5" t="n"/>
      <c r="C226" s="6" t="n"/>
      <c r="D226" s="8" t="n"/>
      <c r="E226" s="8" t="n"/>
      <c r="F226" s="8">
        <f>IF(A229="","",SUMIFS(Operatsiyalar!$I:$I,Operatsiyalar!$C:$C,A229,Operatsiyalar!$E:$E,"kirim"))</f>
        <v/>
      </c>
      <c r="G226" s="8">
        <f>IF(A229="","",SUMIFS(Operatsiyalar!$J:$J,Operatsiyalar!$C:$C,A229,Operatsiyalar!$E:$E,"kirim"))</f>
        <v/>
      </c>
      <c r="H226" s="8">
        <f>IF(A229="","",SUMIFS(Operatsiyalar!$I:$I,Operatsiyalar!$C:$C,A229,Operatsiyalar!$E:$E,"chiqim"))</f>
        <v/>
      </c>
      <c r="I226" s="8">
        <f>IF(A229="","",SUMIFS(Operatsiyalar!$J:$J,Operatsiyalar!$C:$C,A229,Operatsiyalar!$E:$E,"chiqim"))</f>
        <v/>
      </c>
      <c r="J226" s="8">
        <f>IF(A229="","",D229+H229-F229)</f>
        <v/>
      </c>
      <c r="K226" s="8">
        <f>IF(A229="","",E229+I229-G229)</f>
        <v/>
      </c>
    </row>
    <row r="227">
      <c r="A227" s="5" t="n"/>
      <c r="B227" s="5" t="n"/>
      <c r="C227" s="6" t="n"/>
      <c r="D227" s="8" t="n"/>
      <c r="E227" s="8" t="n"/>
      <c r="F227" s="8">
        <f>IF(A230="","",SUMIFS(Operatsiyalar!$I:$I,Operatsiyalar!$C:$C,A230,Operatsiyalar!$E:$E,"kirim"))</f>
        <v/>
      </c>
      <c r="G227" s="8">
        <f>IF(A230="","",SUMIFS(Operatsiyalar!$J:$J,Operatsiyalar!$C:$C,A230,Operatsiyalar!$E:$E,"kirim"))</f>
        <v/>
      </c>
      <c r="H227" s="8">
        <f>IF(A230="","",SUMIFS(Operatsiyalar!$I:$I,Operatsiyalar!$C:$C,A230,Operatsiyalar!$E:$E,"chiqim"))</f>
        <v/>
      </c>
      <c r="I227" s="8">
        <f>IF(A230="","",SUMIFS(Operatsiyalar!$J:$J,Operatsiyalar!$C:$C,A230,Operatsiyalar!$E:$E,"chiqim"))</f>
        <v/>
      </c>
      <c r="J227" s="8">
        <f>IF(A230="","",D230+H230-F230)</f>
        <v/>
      </c>
      <c r="K227" s="8">
        <f>IF(A230="","",E230+I230-G230)</f>
        <v/>
      </c>
    </row>
    <row r="228">
      <c r="A228" s="5" t="n"/>
      <c r="B228" s="5" t="n"/>
      <c r="C228" s="6" t="n"/>
      <c r="D228" s="8" t="n"/>
      <c r="E228" s="8" t="n"/>
      <c r="F228" s="8">
        <f>IF(A231="","",SUMIFS(Operatsiyalar!$I:$I,Operatsiyalar!$C:$C,A231,Operatsiyalar!$E:$E,"kirim"))</f>
        <v/>
      </c>
      <c r="G228" s="8">
        <f>IF(A231="","",SUMIFS(Operatsiyalar!$J:$J,Operatsiyalar!$C:$C,A231,Operatsiyalar!$E:$E,"kirim"))</f>
        <v/>
      </c>
      <c r="H228" s="8">
        <f>IF(A231="","",SUMIFS(Operatsiyalar!$I:$I,Operatsiyalar!$C:$C,A231,Operatsiyalar!$E:$E,"chiqim"))</f>
        <v/>
      </c>
      <c r="I228" s="8">
        <f>IF(A231="","",SUMIFS(Operatsiyalar!$J:$J,Operatsiyalar!$C:$C,A231,Operatsiyalar!$E:$E,"chiqim"))</f>
        <v/>
      </c>
      <c r="J228" s="8">
        <f>IF(A231="","",D231+H231-F231)</f>
        <v/>
      </c>
      <c r="K228" s="8">
        <f>IF(A231="","",E231+I231-G231)</f>
        <v/>
      </c>
    </row>
    <row r="229">
      <c r="A229" s="5" t="n"/>
      <c r="B229" s="5" t="n"/>
      <c r="C229" s="6" t="n"/>
      <c r="D229" s="8" t="n"/>
      <c r="E229" s="8" t="n"/>
      <c r="F229" s="8">
        <f>IF(A232="","",SUMIFS(Operatsiyalar!$I:$I,Operatsiyalar!$C:$C,A232,Operatsiyalar!$E:$E,"kirim"))</f>
        <v/>
      </c>
      <c r="G229" s="8">
        <f>IF(A232="","",SUMIFS(Operatsiyalar!$J:$J,Operatsiyalar!$C:$C,A232,Operatsiyalar!$E:$E,"kirim"))</f>
        <v/>
      </c>
      <c r="H229" s="8">
        <f>IF(A232="","",SUMIFS(Operatsiyalar!$I:$I,Operatsiyalar!$C:$C,A232,Operatsiyalar!$E:$E,"chiqim"))</f>
        <v/>
      </c>
      <c r="I229" s="8">
        <f>IF(A232="","",SUMIFS(Operatsiyalar!$J:$J,Operatsiyalar!$C:$C,A232,Operatsiyalar!$E:$E,"chiqim"))</f>
        <v/>
      </c>
      <c r="J229" s="8">
        <f>IF(A232="","",D232+H232-F232)</f>
        <v/>
      </c>
      <c r="K229" s="8">
        <f>IF(A232="","",E232+I232-G232)</f>
        <v/>
      </c>
    </row>
    <row r="230">
      <c r="A230" s="5" t="n"/>
      <c r="B230" s="5" t="n"/>
      <c r="C230" s="6" t="n"/>
      <c r="D230" s="8" t="n"/>
      <c r="E230" s="8" t="n"/>
      <c r="F230" s="8">
        <f>IF(A233="","",SUMIFS(Operatsiyalar!$I:$I,Operatsiyalar!$C:$C,A233,Operatsiyalar!$E:$E,"kirim"))</f>
        <v/>
      </c>
      <c r="G230" s="8">
        <f>IF(A233="","",SUMIFS(Operatsiyalar!$J:$J,Operatsiyalar!$C:$C,A233,Operatsiyalar!$E:$E,"kirim"))</f>
        <v/>
      </c>
      <c r="H230" s="8">
        <f>IF(A233="","",SUMIFS(Operatsiyalar!$I:$I,Operatsiyalar!$C:$C,A233,Operatsiyalar!$E:$E,"chiqim"))</f>
        <v/>
      </c>
      <c r="I230" s="8">
        <f>IF(A233="","",SUMIFS(Operatsiyalar!$J:$J,Operatsiyalar!$C:$C,A233,Operatsiyalar!$E:$E,"chiqim"))</f>
        <v/>
      </c>
      <c r="J230" s="8">
        <f>IF(A233="","",D233+H233-F233)</f>
        <v/>
      </c>
      <c r="K230" s="8">
        <f>IF(A233="","",E233+I233-G233)</f>
        <v/>
      </c>
    </row>
    <row r="231">
      <c r="A231" s="5" t="n"/>
      <c r="B231" s="5" t="n"/>
      <c r="C231" s="6" t="n"/>
      <c r="D231" s="8" t="n"/>
      <c r="E231" s="8" t="n"/>
      <c r="F231" s="8">
        <f>IF(A234="","",SUMIFS(Operatsiyalar!$I:$I,Operatsiyalar!$C:$C,A234,Operatsiyalar!$E:$E,"kirim"))</f>
        <v/>
      </c>
      <c r="G231" s="8">
        <f>IF(A234="","",SUMIFS(Operatsiyalar!$J:$J,Operatsiyalar!$C:$C,A234,Operatsiyalar!$E:$E,"kirim"))</f>
        <v/>
      </c>
      <c r="H231" s="8">
        <f>IF(A234="","",SUMIFS(Operatsiyalar!$I:$I,Operatsiyalar!$C:$C,A234,Operatsiyalar!$E:$E,"chiqim"))</f>
        <v/>
      </c>
      <c r="I231" s="8">
        <f>IF(A234="","",SUMIFS(Operatsiyalar!$J:$J,Operatsiyalar!$C:$C,A234,Operatsiyalar!$E:$E,"chiqim"))</f>
        <v/>
      </c>
      <c r="J231" s="8">
        <f>IF(A234="","",D234+H234-F234)</f>
        <v/>
      </c>
      <c r="K231" s="8">
        <f>IF(A234="","",E234+I234-G234)</f>
        <v/>
      </c>
    </row>
    <row r="232">
      <c r="A232" s="5" t="n"/>
      <c r="B232" s="5" t="n"/>
      <c r="C232" s="6" t="n"/>
      <c r="D232" s="8" t="n"/>
      <c r="E232" s="8" t="n"/>
      <c r="F232" s="8">
        <f>IF(A235="","",SUMIFS(Operatsiyalar!$I:$I,Operatsiyalar!$C:$C,A235,Operatsiyalar!$E:$E,"kirim"))</f>
        <v/>
      </c>
      <c r="G232" s="8">
        <f>IF(A235="","",SUMIFS(Operatsiyalar!$J:$J,Operatsiyalar!$C:$C,A235,Operatsiyalar!$E:$E,"kirim"))</f>
        <v/>
      </c>
      <c r="H232" s="8">
        <f>IF(A235="","",SUMIFS(Operatsiyalar!$I:$I,Operatsiyalar!$C:$C,A235,Operatsiyalar!$E:$E,"chiqim"))</f>
        <v/>
      </c>
      <c r="I232" s="8">
        <f>IF(A235="","",SUMIFS(Operatsiyalar!$J:$J,Operatsiyalar!$C:$C,A235,Operatsiyalar!$E:$E,"chiqim"))</f>
        <v/>
      </c>
      <c r="J232" s="8">
        <f>IF(A235="","",D235+H235-F235)</f>
        <v/>
      </c>
      <c r="K232" s="8">
        <f>IF(A235="","",E235+I235-G235)</f>
        <v/>
      </c>
    </row>
    <row r="233">
      <c r="A233" s="5" t="n"/>
      <c r="B233" s="5" t="n"/>
      <c r="C233" s="6" t="n"/>
      <c r="D233" s="8" t="n"/>
      <c r="E233" s="8" t="n"/>
      <c r="F233" s="8">
        <f>IF(A236="","",SUMIFS(Operatsiyalar!$I:$I,Operatsiyalar!$C:$C,A236,Operatsiyalar!$E:$E,"kirim"))</f>
        <v/>
      </c>
      <c r="G233" s="8">
        <f>IF(A236="","",SUMIFS(Operatsiyalar!$J:$J,Operatsiyalar!$C:$C,A236,Operatsiyalar!$E:$E,"kirim"))</f>
        <v/>
      </c>
      <c r="H233" s="8">
        <f>IF(A236="","",SUMIFS(Operatsiyalar!$I:$I,Operatsiyalar!$C:$C,A236,Operatsiyalar!$E:$E,"chiqim"))</f>
        <v/>
      </c>
      <c r="I233" s="8">
        <f>IF(A236="","",SUMIFS(Operatsiyalar!$J:$J,Operatsiyalar!$C:$C,A236,Operatsiyalar!$E:$E,"chiqim"))</f>
        <v/>
      </c>
      <c r="J233" s="8">
        <f>IF(A236="","",D236+H236-F236)</f>
        <v/>
      </c>
      <c r="K233" s="8">
        <f>IF(A236="","",E236+I236-G236)</f>
        <v/>
      </c>
    </row>
    <row r="234">
      <c r="A234" s="5" t="n"/>
      <c r="B234" s="5" t="n"/>
      <c r="C234" s="6" t="n"/>
      <c r="D234" s="8" t="n"/>
      <c r="E234" s="8" t="n"/>
      <c r="F234" s="8">
        <f>IF(A237="","",SUMIFS(Operatsiyalar!$I:$I,Operatsiyalar!$C:$C,A237,Operatsiyalar!$E:$E,"kirim"))</f>
        <v/>
      </c>
      <c r="G234" s="8">
        <f>IF(A237="","",SUMIFS(Operatsiyalar!$J:$J,Operatsiyalar!$C:$C,A237,Operatsiyalar!$E:$E,"kirim"))</f>
        <v/>
      </c>
      <c r="H234" s="8">
        <f>IF(A237="","",SUMIFS(Operatsiyalar!$I:$I,Operatsiyalar!$C:$C,A237,Operatsiyalar!$E:$E,"chiqim"))</f>
        <v/>
      </c>
      <c r="I234" s="8">
        <f>IF(A237="","",SUMIFS(Operatsiyalar!$J:$J,Operatsiyalar!$C:$C,A237,Operatsiyalar!$E:$E,"chiqim"))</f>
        <v/>
      </c>
      <c r="J234" s="8">
        <f>IF(A237="","",D237+H237-F237)</f>
        <v/>
      </c>
      <c r="K234" s="8">
        <f>IF(A237="","",E237+I237-G237)</f>
        <v/>
      </c>
    </row>
    <row r="235">
      <c r="A235" s="5" t="n"/>
      <c r="B235" s="5" t="n"/>
      <c r="C235" s="6" t="n"/>
      <c r="D235" s="8" t="n"/>
      <c r="E235" s="8" t="n"/>
      <c r="F235" s="8">
        <f>IF(A238="","",SUMIFS(Operatsiyalar!$I:$I,Operatsiyalar!$C:$C,A238,Operatsiyalar!$E:$E,"kirim"))</f>
        <v/>
      </c>
      <c r="G235" s="8">
        <f>IF(A238="","",SUMIFS(Operatsiyalar!$J:$J,Operatsiyalar!$C:$C,A238,Operatsiyalar!$E:$E,"kirim"))</f>
        <v/>
      </c>
      <c r="H235" s="8">
        <f>IF(A238="","",SUMIFS(Operatsiyalar!$I:$I,Operatsiyalar!$C:$C,A238,Operatsiyalar!$E:$E,"chiqim"))</f>
        <v/>
      </c>
      <c r="I235" s="8">
        <f>IF(A238="","",SUMIFS(Operatsiyalar!$J:$J,Operatsiyalar!$C:$C,A238,Operatsiyalar!$E:$E,"chiqim"))</f>
        <v/>
      </c>
      <c r="J235" s="8">
        <f>IF(A238="","",D238+H238-F238)</f>
        <v/>
      </c>
      <c r="K235" s="8">
        <f>IF(A238="","",E238+I238-G238)</f>
        <v/>
      </c>
    </row>
    <row r="236">
      <c r="A236" s="5" t="n"/>
      <c r="B236" s="5" t="n"/>
      <c r="C236" s="6" t="n"/>
      <c r="D236" s="8" t="n"/>
      <c r="E236" s="8" t="n"/>
      <c r="F236" s="8">
        <f>IF(A239="","",SUMIFS(Operatsiyalar!$I:$I,Operatsiyalar!$C:$C,A239,Operatsiyalar!$E:$E,"kirim"))</f>
        <v/>
      </c>
      <c r="G236" s="8">
        <f>IF(A239="","",SUMIFS(Operatsiyalar!$J:$J,Operatsiyalar!$C:$C,A239,Operatsiyalar!$E:$E,"kirim"))</f>
        <v/>
      </c>
      <c r="H236" s="8">
        <f>IF(A239="","",SUMIFS(Operatsiyalar!$I:$I,Operatsiyalar!$C:$C,A239,Operatsiyalar!$E:$E,"chiqim"))</f>
        <v/>
      </c>
      <c r="I236" s="8">
        <f>IF(A239="","",SUMIFS(Operatsiyalar!$J:$J,Operatsiyalar!$C:$C,A239,Operatsiyalar!$E:$E,"chiqim"))</f>
        <v/>
      </c>
      <c r="J236" s="8">
        <f>IF(A239="","",D239+H239-F239)</f>
        <v/>
      </c>
      <c r="K236" s="8">
        <f>IF(A239="","",E239+I239-G239)</f>
        <v/>
      </c>
    </row>
    <row r="237">
      <c r="A237" s="5" t="n"/>
      <c r="B237" s="5" t="n"/>
      <c r="C237" s="6" t="n"/>
      <c r="D237" s="8" t="n"/>
      <c r="E237" s="8" t="n"/>
      <c r="F237" s="8">
        <f>IF(A240="","",SUMIFS(Operatsiyalar!$I:$I,Operatsiyalar!$C:$C,A240,Operatsiyalar!$E:$E,"kirim"))</f>
        <v/>
      </c>
      <c r="G237" s="8">
        <f>IF(A240="","",SUMIFS(Operatsiyalar!$J:$J,Operatsiyalar!$C:$C,A240,Operatsiyalar!$E:$E,"kirim"))</f>
        <v/>
      </c>
      <c r="H237" s="8">
        <f>IF(A240="","",SUMIFS(Operatsiyalar!$I:$I,Operatsiyalar!$C:$C,A240,Operatsiyalar!$E:$E,"chiqim"))</f>
        <v/>
      </c>
      <c r="I237" s="8">
        <f>IF(A240="","",SUMIFS(Operatsiyalar!$J:$J,Operatsiyalar!$C:$C,A240,Operatsiyalar!$E:$E,"chiqim"))</f>
        <v/>
      </c>
      <c r="J237" s="8">
        <f>IF(A240="","",D240+H240-F240)</f>
        <v/>
      </c>
      <c r="K237" s="8">
        <f>IF(A240="","",E240+I240-G240)</f>
        <v/>
      </c>
    </row>
    <row r="238">
      <c r="A238" s="5" t="n"/>
      <c r="B238" s="5" t="n"/>
      <c r="C238" s="6" t="n"/>
      <c r="D238" s="8" t="n"/>
      <c r="E238" s="8" t="n"/>
      <c r="F238" s="8">
        <f>IF(A241="","",SUMIFS(Operatsiyalar!$I:$I,Operatsiyalar!$C:$C,A241,Operatsiyalar!$E:$E,"kirim"))</f>
        <v/>
      </c>
      <c r="G238" s="8">
        <f>IF(A241="","",SUMIFS(Operatsiyalar!$J:$J,Operatsiyalar!$C:$C,A241,Operatsiyalar!$E:$E,"kirim"))</f>
        <v/>
      </c>
      <c r="H238" s="8">
        <f>IF(A241="","",SUMIFS(Operatsiyalar!$I:$I,Operatsiyalar!$C:$C,A241,Operatsiyalar!$E:$E,"chiqim"))</f>
        <v/>
      </c>
      <c r="I238" s="8">
        <f>IF(A241="","",SUMIFS(Operatsiyalar!$J:$J,Operatsiyalar!$C:$C,A241,Operatsiyalar!$E:$E,"chiqim"))</f>
        <v/>
      </c>
      <c r="J238" s="8">
        <f>IF(A241="","",D241+H241-F241)</f>
        <v/>
      </c>
      <c r="K238" s="8">
        <f>IF(A241="","",E241+I241-G241)</f>
        <v/>
      </c>
    </row>
    <row r="239">
      <c r="A239" s="5" t="n"/>
      <c r="B239" s="5" t="n"/>
      <c r="C239" s="6" t="n"/>
      <c r="D239" s="8" t="n"/>
      <c r="E239" s="8" t="n"/>
      <c r="F239" s="8">
        <f>IF(A242="","",SUMIFS(Operatsiyalar!$I:$I,Operatsiyalar!$C:$C,A242,Operatsiyalar!$E:$E,"kirim"))</f>
        <v/>
      </c>
      <c r="G239" s="8">
        <f>IF(A242="","",SUMIFS(Operatsiyalar!$J:$J,Operatsiyalar!$C:$C,A242,Operatsiyalar!$E:$E,"kirim"))</f>
        <v/>
      </c>
      <c r="H239" s="8">
        <f>IF(A242="","",SUMIFS(Operatsiyalar!$I:$I,Operatsiyalar!$C:$C,A242,Operatsiyalar!$E:$E,"chiqim"))</f>
        <v/>
      </c>
      <c r="I239" s="8">
        <f>IF(A242="","",SUMIFS(Operatsiyalar!$J:$J,Operatsiyalar!$C:$C,A242,Operatsiyalar!$E:$E,"chiqim"))</f>
        <v/>
      </c>
      <c r="J239" s="8">
        <f>IF(A242="","",D242+H242-F242)</f>
        <v/>
      </c>
      <c r="K239" s="8">
        <f>IF(A242="","",E242+I242-G242)</f>
        <v/>
      </c>
    </row>
    <row r="240">
      <c r="A240" s="5" t="n"/>
      <c r="B240" s="5" t="n"/>
      <c r="C240" s="6" t="n"/>
      <c r="D240" s="8" t="n"/>
      <c r="E240" s="8" t="n"/>
      <c r="F240" s="8">
        <f>IF(A243="","",SUMIFS(Operatsiyalar!$I:$I,Operatsiyalar!$C:$C,A243,Operatsiyalar!$E:$E,"kirim"))</f>
        <v/>
      </c>
      <c r="G240" s="8">
        <f>IF(A243="","",SUMIFS(Operatsiyalar!$J:$J,Operatsiyalar!$C:$C,A243,Operatsiyalar!$E:$E,"kirim"))</f>
        <v/>
      </c>
      <c r="H240" s="8">
        <f>IF(A243="","",SUMIFS(Operatsiyalar!$I:$I,Operatsiyalar!$C:$C,A243,Operatsiyalar!$E:$E,"chiqim"))</f>
        <v/>
      </c>
      <c r="I240" s="8">
        <f>IF(A243="","",SUMIFS(Operatsiyalar!$J:$J,Operatsiyalar!$C:$C,A243,Operatsiyalar!$E:$E,"chiqim"))</f>
        <v/>
      </c>
      <c r="J240" s="8">
        <f>IF(A243="","",D243+H243-F243)</f>
        <v/>
      </c>
      <c r="K240" s="8">
        <f>IF(A243="","",E243+I243-G243)</f>
        <v/>
      </c>
    </row>
    <row r="241">
      <c r="A241" s="5" t="n"/>
      <c r="B241" s="5" t="n"/>
      <c r="C241" s="6" t="n"/>
      <c r="D241" s="8" t="n"/>
      <c r="E241" s="8" t="n"/>
      <c r="F241" s="8">
        <f>IF(A244="","",SUMIFS(Operatsiyalar!$I:$I,Operatsiyalar!$C:$C,A244,Operatsiyalar!$E:$E,"kirim"))</f>
        <v/>
      </c>
      <c r="G241" s="8">
        <f>IF(A244="","",SUMIFS(Operatsiyalar!$J:$J,Operatsiyalar!$C:$C,A244,Operatsiyalar!$E:$E,"kirim"))</f>
        <v/>
      </c>
      <c r="H241" s="8">
        <f>IF(A244="","",SUMIFS(Operatsiyalar!$I:$I,Operatsiyalar!$C:$C,A244,Operatsiyalar!$E:$E,"chiqim"))</f>
        <v/>
      </c>
      <c r="I241" s="8">
        <f>IF(A244="","",SUMIFS(Operatsiyalar!$J:$J,Operatsiyalar!$C:$C,A244,Operatsiyalar!$E:$E,"chiqim"))</f>
        <v/>
      </c>
      <c r="J241" s="8">
        <f>IF(A244="","",D244+H244-F244)</f>
        <v/>
      </c>
      <c r="K241" s="8">
        <f>IF(A244="","",E244+I244-G244)</f>
        <v/>
      </c>
    </row>
    <row r="242">
      <c r="A242" s="5" t="n"/>
      <c r="B242" s="5" t="n"/>
      <c r="C242" s="6" t="n"/>
      <c r="D242" s="8" t="n"/>
      <c r="E242" s="8" t="n"/>
      <c r="F242" s="8">
        <f>IF(A245="","",SUMIFS(Operatsiyalar!$I:$I,Operatsiyalar!$C:$C,A245,Operatsiyalar!$E:$E,"kirim"))</f>
        <v/>
      </c>
      <c r="G242" s="8">
        <f>IF(A245="","",SUMIFS(Operatsiyalar!$J:$J,Operatsiyalar!$C:$C,A245,Operatsiyalar!$E:$E,"kirim"))</f>
        <v/>
      </c>
      <c r="H242" s="8">
        <f>IF(A245="","",SUMIFS(Operatsiyalar!$I:$I,Operatsiyalar!$C:$C,A245,Operatsiyalar!$E:$E,"chiqim"))</f>
        <v/>
      </c>
      <c r="I242" s="8">
        <f>IF(A245="","",SUMIFS(Operatsiyalar!$J:$J,Operatsiyalar!$C:$C,A245,Operatsiyalar!$E:$E,"chiqim"))</f>
        <v/>
      </c>
      <c r="J242" s="8">
        <f>IF(A245="","",D245+H245-F245)</f>
        <v/>
      </c>
      <c r="K242" s="8">
        <f>IF(A245="","",E245+I245-G245)</f>
        <v/>
      </c>
    </row>
    <row r="243">
      <c r="A243" s="5" t="n"/>
      <c r="B243" s="5" t="n"/>
      <c r="C243" s="6" t="n"/>
      <c r="D243" s="8" t="n"/>
      <c r="E243" s="8" t="n"/>
      <c r="F243" s="8">
        <f>IF(A246="","",SUMIFS(Operatsiyalar!$I:$I,Operatsiyalar!$C:$C,A246,Operatsiyalar!$E:$E,"kirim"))</f>
        <v/>
      </c>
      <c r="G243" s="8">
        <f>IF(A246="","",SUMIFS(Operatsiyalar!$J:$J,Operatsiyalar!$C:$C,A246,Operatsiyalar!$E:$E,"kirim"))</f>
        <v/>
      </c>
      <c r="H243" s="8">
        <f>IF(A246="","",SUMIFS(Operatsiyalar!$I:$I,Operatsiyalar!$C:$C,A246,Operatsiyalar!$E:$E,"chiqim"))</f>
        <v/>
      </c>
      <c r="I243" s="8">
        <f>IF(A246="","",SUMIFS(Operatsiyalar!$J:$J,Operatsiyalar!$C:$C,A246,Operatsiyalar!$E:$E,"chiqim"))</f>
        <v/>
      </c>
      <c r="J243" s="8">
        <f>IF(A246="","",D246+H246-F246)</f>
        <v/>
      </c>
      <c r="K243" s="8">
        <f>IF(A246="","",E246+I246-G246)</f>
        <v/>
      </c>
    </row>
    <row r="244">
      <c r="A244" s="5" t="n"/>
      <c r="B244" s="5" t="n"/>
      <c r="C244" s="6" t="n"/>
      <c r="D244" s="8" t="n"/>
      <c r="E244" s="8" t="n"/>
      <c r="F244" s="8">
        <f>IF(A247="","",SUMIFS(Operatsiyalar!$I:$I,Operatsiyalar!$C:$C,A247,Operatsiyalar!$E:$E,"kirim"))</f>
        <v/>
      </c>
      <c r="G244" s="8">
        <f>IF(A247="","",SUMIFS(Operatsiyalar!$J:$J,Operatsiyalar!$C:$C,A247,Operatsiyalar!$E:$E,"kirim"))</f>
        <v/>
      </c>
      <c r="H244" s="8">
        <f>IF(A247="","",SUMIFS(Operatsiyalar!$I:$I,Operatsiyalar!$C:$C,A247,Operatsiyalar!$E:$E,"chiqim"))</f>
        <v/>
      </c>
      <c r="I244" s="8">
        <f>IF(A247="","",SUMIFS(Operatsiyalar!$J:$J,Operatsiyalar!$C:$C,A247,Operatsiyalar!$E:$E,"chiqim"))</f>
        <v/>
      </c>
      <c r="J244" s="8">
        <f>IF(A247="","",D247+H247-F247)</f>
        <v/>
      </c>
      <c r="K244" s="8">
        <f>IF(A247="","",E247+I247-G247)</f>
        <v/>
      </c>
    </row>
    <row r="245">
      <c r="A245" s="5" t="n"/>
      <c r="B245" s="5" t="n"/>
      <c r="C245" s="6" t="n"/>
      <c r="D245" s="8" t="n"/>
      <c r="E245" s="8" t="n"/>
      <c r="F245" s="8">
        <f>IF(A248="","",SUMIFS(Operatsiyalar!$I:$I,Operatsiyalar!$C:$C,A248,Operatsiyalar!$E:$E,"kirim"))</f>
        <v/>
      </c>
      <c r="G245" s="8">
        <f>IF(A248="","",SUMIFS(Operatsiyalar!$J:$J,Operatsiyalar!$C:$C,A248,Operatsiyalar!$E:$E,"kirim"))</f>
        <v/>
      </c>
      <c r="H245" s="8">
        <f>IF(A248="","",SUMIFS(Operatsiyalar!$I:$I,Operatsiyalar!$C:$C,A248,Operatsiyalar!$E:$E,"chiqim"))</f>
        <v/>
      </c>
      <c r="I245" s="8">
        <f>IF(A248="","",SUMIFS(Operatsiyalar!$J:$J,Operatsiyalar!$C:$C,A248,Operatsiyalar!$E:$E,"chiqim"))</f>
        <v/>
      </c>
      <c r="J245" s="8">
        <f>IF(A248="","",D248+H248-F248)</f>
        <v/>
      </c>
      <c r="K245" s="8">
        <f>IF(A248="","",E248+I248-G248)</f>
        <v/>
      </c>
    </row>
    <row r="246">
      <c r="A246" s="5" t="n"/>
      <c r="B246" s="5" t="n"/>
      <c r="C246" s="6" t="n"/>
      <c r="D246" s="8" t="n"/>
      <c r="E246" s="8" t="n"/>
      <c r="F246" s="8">
        <f>IF(A249="","",SUMIFS(Operatsiyalar!$I:$I,Operatsiyalar!$C:$C,A249,Operatsiyalar!$E:$E,"kirim"))</f>
        <v/>
      </c>
      <c r="G246" s="8">
        <f>IF(A249="","",SUMIFS(Operatsiyalar!$J:$J,Operatsiyalar!$C:$C,A249,Operatsiyalar!$E:$E,"kirim"))</f>
        <v/>
      </c>
      <c r="H246" s="8">
        <f>IF(A249="","",SUMIFS(Operatsiyalar!$I:$I,Operatsiyalar!$C:$C,A249,Operatsiyalar!$E:$E,"chiqim"))</f>
        <v/>
      </c>
      <c r="I246" s="8">
        <f>IF(A249="","",SUMIFS(Operatsiyalar!$J:$J,Operatsiyalar!$C:$C,A249,Operatsiyalar!$E:$E,"chiqim"))</f>
        <v/>
      </c>
      <c r="J246" s="8">
        <f>IF(A249="","",D249+H249-F249)</f>
        <v/>
      </c>
      <c r="K246" s="8">
        <f>IF(A249="","",E249+I249-G249)</f>
        <v/>
      </c>
    </row>
    <row r="247">
      <c r="A247" s="5" t="n"/>
      <c r="B247" s="5" t="n"/>
      <c r="C247" s="6" t="n"/>
      <c r="D247" s="8" t="n"/>
      <c r="E247" s="8" t="n"/>
      <c r="F247" s="8">
        <f>IF(A250="","",SUMIFS(Operatsiyalar!$I:$I,Operatsiyalar!$C:$C,A250,Operatsiyalar!$E:$E,"kirim"))</f>
        <v/>
      </c>
      <c r="G247" s="8">
        <f>IF(A250="","",SUMIFS(Operatsiyalar!$J:$J,Operatsiyalar!$C:$C,A250,Operatsiyalar!$E:$E,"kirim"))</f>
        <v/>
      </c>
      <c r="H247" s="8">
        <f>IF(A250="","",SUMIFS(Operatsiyalar!$I:$I,Operatsiyalar!$C:$C,A250,Operatsiyalar!$E:$E,"chiqim"))</f>
        <v/>
      </c>
      <c r="I247" s="8">
        <f>IF(A250="","",SUMIFS(Operatsiyalar!$J:$J,Operatsiyalar!$C:$C,A250,Operatsiyalar!$E:$E,"chiqim"))</f>
        <v/>
      </c>
      <c r="J247" s="8">
        <f>IF(A250="","",D250+H250-F250)</f>
        <v/>
      </c>
      <c r="K247" s="8">
        <f>IF(A250="","",E250+I250-G250)</f>
        <v/>
      </c>
    </row>
    <row r="248">
      <c r="A248" s="5" t="n"/>
      <c r="B248" s="5" t="n"/>
      <c r="C248" s="6" t="n"/>
      <c r="D248" s="8" t="n"/>
      <c r="E248" s="8" t="n"/>
      <c r="F248" s="8">
        <f>IF(A251="","",SUMIFS(Operatsiyalar!$I:$I,Operatsiyalar!$C:$C,A251,Operatsiyalar!$E:$E,"kirim"))</f>
        <v/>
      </c>
      <c r="G248" s="8">
        <f>IF(A251="","",SUMIFS(Operatsiyalar!$J:$J,Operatsiyalar!$C:$C,A251,Operatsiyalar!$E:$E,"kirim"))</f>
        <v/>
      </c>
      <c r="H248" s="8">
        <f>IF(A251="","",SUMIFS(Operatsiyalar!$I:$I,Operatsiyalar!$C:$C,A251,Operatsiyalar!$E:$E,"chiqim"))</f>
        <v/>
      </c>
      <c r="I248" s="8">
        <f>IF(A251="","",SUMIFS(Operatsiyalar!$J:$J,Operatsiyalar!$C:$C,A251,Operatsiyalar!$E:$E,"chiqim"))</f>
        <v/>
      </c>
      <c r="J248" s="8">
        <f>IF(A251="","",D251+H251-F251)</f>
        <v/>
      </c>
      <c r="K248" s="8">
        <f>IF(A251="","",E251+I251-G251)</f>
        <v/>
      </c>
    </row>
    <row r="249">
      <c r="A249" s="5" t="n"/>
      <c r="B249" s="5" t="n"/>
      <c r="C249" s="6" t="n"/>
      <c r="D249" s="8" t="n"/>
      <c r="E249" s="8" t="n"/>
      <c r="F249" s="8">
        <f>IF(A252="","",SUMIFS(Operatsiyalar!$I:$I,Operatsiyalar!$C:$C,A252,Operatsiyalar!$E:$E,"kirim"))</f>
        <v/>
      </c>
      <c r="G249" s="8">
        <f>IF(A252="","",SUMIFS(Operatsiyalar!$J:$J,Operatsiyalar!$C:$C,A252,Operatsiyalar!$E:$E,"kirim"))</f>
        <v/>
      </c>
      <c r="H249" s="8">
        <f>IF(A252="","",SUMIFS(Operatsiyalar!$I:$I,Operatsiyalar!$C:$C,A252,Operatsiyalar!$E:$E,"chiqim"))</f>
        <v/>
      </c>
      <c r="I249" s="8">
        <f>IF(A252="","",SUMIFS(Operatsiyalar!$J:$J,Operatsiyalar!$C:$C,A252,Operatsiyalar!$E:$E,"chiqim"))</f>
        <v/>
      </c>
      <c r="J249" s="8">
        <f>IF(A252="","",D252+H252-F252)</f>
        <v/>
      </c>
      <c r="K249" s="8">
        <f>IF(A252="","",E252+I252-G252)</f>
        <v/>
      </c>
    </row>
    <row r="250">
      <c r="A250" s="5" t="n"/>
      <c r="B250" s="5" t="n"/>
      <c r="C250" s="6" t="n"/>
      <c r="D250" s="8" t="n"/>
      <c r="E250" s="8" t="n"/>
      <c r="F250" s="8">
        <f>IF(A253="","",SUMIFS(Operatsiyalar!$I:$I,Operatsiyalar!$C:$C,A253,Operatsiyalar!$E:$E,"kirim"))</f>
        <v/>
      </c>
      <c r="G250" s="8">
        <f>IF(A253="","",SUMIFS(Operatsiyalar!$J:$J,Operatsiyalar!$C:$C,A253,Operatsiyalar!$E:$E,"kirim"))</f>
        <v/>
      </c>
      <c r="H250" s="8">
        <f>IF(A253="","",SUMIFS(Operatsiyalar!$I:$I,Operatsiyalar!$C:$C,A253,Operatsiyalar!$E:$E,"chiqim"))</f>
        <v/>
      </c>
      <c r="I250" s="8">
        <f>IF(A253="","",SUMIFS(Operatsiyalar!$J:$J,Operatsiyalar!$C:$C,A253,Operatsiyalar!$E:$E,"chiqim"))</f>
        <v/>
      </c>
      <c r="J250" s="8">
        <f>IF(A253="","",D253+H253-F253)</f>
        <v/>
      </c>
      <c r="K250" s="8">
        <f>IF(A253="","",E253+I253-G253)</f>
        <v/>
      </c>
    </row>
    <row r="251">
      <c r="A251" s="5" t="n"/>
      <c r="B251" s="5" t="n"/>
      <c r="C251" s="6" t="n"/>
      <c r="D251" s="8" t="n"/>
      <c r="E251" s="8" t="n"/>
      <c r="F251" s="8">
        <f>IF(A254="","",SUMIFS(Operatsiyalar!$I:$I,Operatsiyalar!$C:$C,A254,Operatsiyalar!$E:$E,"kirim"))</f>
        <v/>
      </c>
      <c r="G251" s="8">
        <f>IF(A254="","",SUMIFS(Operatsiyalar!$J:$J,Operatsiyalar!$C:$C,A254,Operatsiyalar!$E:$E,"kirim"))</f>
        <v/>
      </c>
      <c r="H251" s="8">
        <f>IF(A254="","",SUMIFS(Operatsiyalar!$I:$I,Operatsiyalar!$C:$C,A254,Operatsiyalar!$E:$E,"chiqim"))</f>
        <v/>
      </c>
      <c r="I251" s="8">
        <f>IF(A254="","",SUMIFS(Operatsiyalar!$J:$J,Operatsiyalar!$C:$C,A254,Operatsiyalar!$E:$E,"chiqim"))</f>
        <v/>
      </c>
      <c r="J251" s="8">
        <f>IF(A254="","",D254+H254-F254)</f>
        <v/>
      </c>
      <c r="K251" s="8">
        <f>IF(A254="","",E254+I254-G254)</f>
        <v/>
      </c>
    </row>
    <row r="252">
      <c r="A252" s="5" t="n"/>
      <c r="B252" s="5" t="n"/>
      <c r="C252" s="6" t="n"/>
      <c r="D252" s="8" t="n"/>
      <c r="E252" s="8" t="n"/>
      <c r="F252" s="8">
        <f>IF(A255="","",SUMIFS(Operatsiyalar!$I:$I,Operatsiyalar!$C:$C,A255,Operatsiyalar!$E:$E,"kirim"))</f>
        <v/>
      </c>
      <c r="G252" s="8">
        <f>IF(A255="","",SUMIFS(Operatsiyalar!$J:$J,Operatsiyalar!$C:$C,A255,Operatsiyalar!$E:$E,"kirim"))</f>
        <v/>
      </c>
      <c r="H252" s="8">
        <f>IF(A255="","",SUMIFS(Operatsiyalar!$I:$I,Operatsiyalar!$C:$C,A255,Operatsiyalar!$E:$E,"chiqim"))</f>
        <v/>
      </c>
      <c r="I252" s="8">
        <f>IF(A255="","",SUMIFS(Operatsiyalar!$J:$J,Operatsiyalar!$C:$C,A255,Operatsiyalar!$E:$E,"chiqim"))</f>
        <v/>
      </c>
      <c r="J252" s="8">
        <f>IF(A255="","",D255+H255-F255)</f>
        <v/>
      </c>
      <c r="K252" s="8">
        <f>IF(A255="","",E255+I255-G255)</f>
        <v/>
      </c>
    </row>
    <row r="253">
      <c r="A253" s="5" t="n"/>
      <c r="B253" s="5" t="n"/>
      <c r="C253" s="6" t="n"/>
      <c r="D253" s="8" t="n"/>
      <c r="E253" s="8" t="n"/>
      <c r="F253" s="8">
        <f>IF(A256="","",SUMIFS(Operatsiyalar!$I:$I,Operatsiyalar!$C:$C,A256,Operatsiyalar!$E:$E,"kirim"))</f>
        <v/>
      </c>
      <c r="G253" s="8">
        <f>IF(A256="","",SUMIFS(Operatsiyalar!$J:$J,Operatsiyalar!$C:$C,A256,Operatsiyalar!$E:$E,"kirim"))</f>
        <v/>
      </c>
      <c r="H253" s="8">
        <f>IF(A256="","",SUMIFS(Operatsiyalar!$I:$I,Operatsiyalar!$C:$C,A256,Operatsiyalar!$E:$E,"chiqim"))</f>
        <v/>
      </c>
      <c r="I253" s="8">
        <f>IF(A256="","",SUMIFS(Operatsiyalar!$J:$J,Operatsiyalar!$C:$C,A256,Operatsiyalar!$E:$E,"chiqim"))</f>
        <v/>
      </c>
      <c r="J253" s="8">
        <f>IF(A256="","",D256+H256-F256)</f>
        <v/>
      </c>
      <c r="K253" s="8">
        <f>IF(A256="","",E256+I256-G256)</f>
        <v/>
      </c>
    </row>
    <row r="254">
      <c r="A254" s="5" t="n"/>
      <c r="B254" s="5" t="n"/>
      <c r="C254" s="6" t="n"/>
      <c r="D254" s="8" t="n"/>
      <c r="E254" s="8" t="n"/>
      <c r="F254" s="8">
        <f>IF(A257="","",SUMIFS(Operatsiyalar!$I:$I,Operatsiyalar!$C:$C,A257,Operatsiyalar!$E:$E,"kirim"))</f>
        <v/>
      </c>
      <c r="G254" s="8">
        <f>IF(A257="","",SUMIFS(Operatsiyalar!$J:$J,Operatsiyalar!$C:$C,A257,Operatsiyalar!$E:$E,"kirim"))</f>
        <v/>
      </c>
      <c r="H254" s="8">
        <f>IF(A257="","",SUMIFS(Operatsiyalar!$I:$I,Operatsiyalar!$C:$C,A257,Operatsiyalar!$E:$E,"chiqim"))</f>
        <v/>
      </c>
      <c r="I254" s="8">
        <f>IF(A257="","",SUMIFS(Operatsiyalar!$J:$J,Operatsiyalar!$C:$C,A257,Operatsiyalar!$E:$E,"chiqim"))</f>
        <v/>
      </c>
      <c r="J254" s="8">
        <f>IF(A257="","",D257+H257-F257)</f>
        <v/>
      </c>
      <c r="K254" s="8">
        <f>IF(A257="","",E257+I257-G257)</f>
        <v/>
      </c>
    </row>
    <row r="255">
      <c r="A255" s="5" t="n"/>
      <c r="B255" s="5" t="n"/>
      <c r="C255" s="6" t="n"/>
      <c r="D255" s="8" t="n"/>
      <c r="E255" s="8" t="n"/>
      <c r="F255" s="8">
        <f>IF(A258="","",SUMIFS(Operatsiyalar!$I:$I,Operatsiyalar!$C:$C,A258,Operatsiyalar!$E:$E,"kirim"))</f>
        <v/>
      </c>
      <c r="G255" s="8">
        <f>IF(A258="","",SUMIFS(Operatsiyalar!$J:$J,Operatsiyalar!$C:$C,A258,Operatsiyalar!$E:$E,"kirim"))</f>
        <v/>
      </c>
      <c r="H255" s="8">
        <f>IF(A258="","",SUMIFS(Operatsiyalar!$I:$I,Operatsiyalar!$C:$C,A258,Operatsiyalar!$E:$E,"chiqim"))</f>
        <v/>
      </c>
      <c r="I255" s="8">
        <f>IF(A258="","",SUMIFS(Operatsiyalar!$J:$J,Operatsiyalar!$C:$C,A258,Operatsiyalar!$E:$E,"chiqim"))</f>
        <v/>
      </c>
      <c r="J255" s="8">
        <f>IF(A258="","",D258+H258-F258)</f>
        <v/>
      </c>
      <c r="K255" s="8">
        <f>IF(A258="","",E258+I258-G258)</f>
        <v/>
      </c>
    </row>
    <row r="256">
      <c r="A256" s="5" t="n"/>
      <c r="B256" s="5" t="n"/>
      <c r="C256" s="6" t="n"/>
      <c r="D256" s="8" t="n"/>
      <c r="E256" s="8" t="n"/>
      <c r="F256" s="8">
        <f>IF(A259="","",SUMIFS(Operatsiyalar!$I:$I,Operatsiyalar!$C:$C,A259,Operatsiyalar!$E:$E,"kirim"))</f>
        <v/>
      </c>
      <c r="G256" s="8">
        <f>IF(A259="","",SUMIFS(Operatsiyalar!$J:$J,Operatsiyalar!$C:$C,A259,Operatsiyalar!$E:$E,"kirim"))</f>
        <v/>
      </c>
      <c r="H256" s="8">
        <f>IF(A259="","",SUMIFS(Operatsiyalar!$I:$I,Operatsiyalar!$C:$C,A259,Operatsiyalar!$E:$E,"chiqim"))</f>
        <v/>
      </c>
      <c r="I256" s="8">
        <f>IF(A259="","",SUMIFS(Operatsiyalar!$J:$J,Operatsiyalar!$C:$C,A259,Operatsiyalar!$E:$E,"chiqim"))</f>
        <v/>
      </c>
      <c r="J256" s="8">
        <f>IF(A259="","",D259+H259-F259)</f>
        <v/>
      </c>
      <c r="K256" s="8">
        <f>IF(A259="","",E259+I259-G259)</f>
        <v/>
      </c>
    </row>
    <row r="257">
      <c r="A257" s="5" t="n"/>
      <c r="B257" s="5" t="n"/>
      <c r="C257" s="6" t="n"/>
      <c r="D257" s="8" t="n"/>
      <c r="E257" s="8" t="n"/>
      <c r="F257" s="8">
        <f>IF(A260="","",SUMIFS(Operatsiyalar!$I:$I,Operatsiyalar!$C:$C,A260,Operatsiyalar!$E:$E,"kirim"))</f>
        <v/>
      </c>
      <c r="G257" s="8">
        <f>IF(A260="","",SUMIFS(Operatsiyalar!$J:$J,Operatsiyalar!$C:$C,A260,Operatsiyalar!$E:$E,"kirim"))</f>
        <v/>
      </c>
      <c r="H257" s="8">
        <f>IF(A260="","",SUMIFS(Operatsiyalar!$I:$I,Operatsiyalar!$C:$C,A260,Operatsiyalar!$E:$E,"chiqim"))</f>
        <v/>
      </c>
      <c r="I257" s="8">
        <f>IF(A260="","",SUMIFS(Operatsiyalar!$J:$J,Operatsiyalar!$C:$C,A260,Operatsiyalar!$E:$E,"chiqim"))</f>
        <v/>
      </c>
      <c r="J257" s="8">
        <f>IF(A260="","",D260+H260-F260)</f>
        <v/>
      </c>
      <c r="K257" s="8">
        <f>IF(A260="","",E260+I260-G260)</f>
        <v/>
      </c>
    </row>
    <row r="258">
      <c r="A258" s="5" t="n"/>
      <c r="B258" s="5" t="n"/>
      <c r="C258" s="6" t="n"/>
      <c r="D258" s="8" t="n"/>
      <c r="E258" s="8" t="n"/>
      <c r="F258" s="8">
        <f>IF(A261="","",SUMIFS(Operatsiyalar!$I:$I,Operatsiyalar!$C:$C,A261,Operatsiyalar!$E:$E,"kirim"))</f>
        <v/>
      </c>
      <c r="G258" s="8">
        <f>IF(A261="","",SUMIFS(Operatsiyalar!$J:$J,Operatsiyalar!$C:$C,A261,Operatsiyalar!$E:$E,"kirim"))</f>
        <v/>
      </c>
      <c r="H258" s="8">
        <f>IF(A261="","",SUMIFS(Operatsiyalar!$I:$I,Operatsiyalar!$C:$C,A261,Operatsiyalar!$E:$E,"chiqim"))</f>
        <v/>
      </c>
      <c r="I258" s="8">
        <f>IF(A261="","",SUMIFS(Operatsiyalar!$J:$J,Operatsiyalar!$C:$C,A261,Operatsiyalar!$E:$E,"chiqim"))</f>
        <v/>
      </c>
      <c r="J258" s="8">
        <f>IF(A261="","",D261+H261-F261)</f>
        <v/>
      </c>
      <c r="K258" s="8">
        <f>IF(A261="","",E261+I261-G261)</f>
        <v/>
      </c>
    </row>
    <row r="259">
      <c r="A259" s="5" t="n"/>
      <c r="B259" s="5" t="n"/>
      <c r="C259" s="6" t="n"/>
      <c r="D259" s="8" t="n"/>
      <c r="E259" s="8" t="n"/>
      <c r="F259" s="8">
        <f>IF(A262="","",SUMIFS(Operatsiyalar!$I:$I,Operatsiyalar!$C:$C,A262,Operatsiyalar!$E:$E,"kirim"))</f>
        <v/>
      </c>
      <c r="G259" s="8">
        <f>IF(A262="","",SUMIFS(Operatsiyalar!$J:$J,Operatsiyalar!$C:$C,A262,Operatsiyalar!$E:$E,"kirim"))</f>
        <v/>
      </c>
      <c r="H259" s="8">
        <f>IF(A262="","",SUMIFS(Operatsiyalar!$I:$I,Operatsiyalar!$C:$C,A262,Operatsiyalar!$E:$E,"chiqim"))</f>
        <v/>
      </c>
      <c r="I259" s="8">
        <f>IF(A262="","",SUMIFS(Operatsiyalar!$J:$J,Operatsiyalar!$C:$C,A262,Operatsiyalar!$E:$E,"chiqim"))</f>
        <v/>
      </c>
      <c r="J259" s="8">
        <f>IF(A262="","",D262+H262-F262)</f>
        <v/>
      </c>
      <c r="K259" s="8">
        <f>IF(A262="","",E262+I262-G262)</f>
        <v/>
      </c>
    </row>
    <row r="260">
      <c r="A260" s="5" t="n"/>
      <c r="B260" s="5" t="n"/>
      <c r="C260" s="6" t="n"/>
      <c r="D260" s="8" t="n"/>
      <c r="E260" s="8" t="n"/>
      <c r="F260" s="8">
        <f>IF(A263="","",SUMIFS(Operatsiyalar!$I:$I,Operatsiyalar!$C:$C,A263,Operatsiyalar!$E:$E,"kirim"))</f>
        <v/>
      </c>
      <c r="G260" s="8">
        <f>IF(A263="","",SUMIFS(Operatsiyalar!$J:$J,Operatsiyalar!$C:$C,A263,Operatsiyalar!$E:$E,"kirim"))</f>
        <v/>
      </c>
      <c r="H260" s="8">
        <f>IF(A263="","",SUMIFS(Operatsiyalar!$I:$I,Operatsiyalar!$C:$C,A263,Operatsiyalar!$E:$E,"chiqim"))</f>
        <v/>
      </c>
      <c r="I260" s="8">
        <f>IF(A263="","",SUMIFS(Operatsiyalar!$J:$J,Operatsiyalar!$C:$C,A263,Operatsiyalar!$E:$E,"chiqim"))</f>
        <v/>
      </c>
      <c r="J260" s="8">
        <f>IF(A263="","",D263+H263-F263)</f>
        <v/>
      </c>
      <c r="K260" s="8">
        <f>IF(A263="","",E263+I263-G263)</f>
        <v/>
      </c>
    </row>
    <row r="261">
      <c r="A261" s="5" t="n"/>
      <c r="B261" s="5" t="n"/>
      <c r="C261" s="6" t="n"/>
      <c r="D261" s="8" t="n"/>
      <c r="E261" s="8" t="n"/>
      <c r="F261" s="8">
        <f>IF(A264="","",SUMIFS(Operatsiyalar!$I:$I,Operatsiyalar!$C:$C,A264,Operatsiyalar!$E:$E,"kirim"))</f>
        <v/>
      </c>
      <c r="G261" s="8">
        <f>IF(A264="","",SUMIFS(Operatsiyalar!$J:$J,Operatsiyalar!$C:$C,A264,Operatsiyalar!$E:$E,"kirim"))</f>
        <v/>
      </c>
      <c r="H261" s="8">
        <f>IF(A264="","",SUMIFS(Operatsiyalar!$I:$I,Operatsiyalar!$C:$C,A264,Operatsiyalar!$E:$E,"chiqim"))</f>
        <v/>
      </c>
      <c r="I261" s="8">
        <f>IF(A264="","",SUMIFS(Operatsiyalar!$J:$J,Operatsiyalar!$C:$C,A264,Operatsiyalar!$E:$E,"chiqim"))</f>
        <v/>
      </c>
      <c r="J261" s="8">
        <f>IF(A264="","",D264+H264-F264)</f>
        <v/>
      </c>
      <c r="K261" s="8">
        <f>IF(A264="","",E264+I264-G264)</f>
        <v/>
      </c>
    </row>
    <row r="262">
      <c r="A262" s="5" t="n"/>
      <c r="B262" s="5" t="n"/>
      <c r="C262" s="6" t="n"/>
      <c r="D262" s="8" t="n"/>
      <c r="E262" s="8" t="n"/>
      <c r="F262" s="8">
        <f>IF(A265="","",SUMIFS(Operatsiyalar!$I:$I,Operatsiyalar!$C:$C,A265,Operatsiyalar!$E:$E,"kirim"))</f>
        <v/>
      </c>
      <c r="G262" s="8">
        <f>IF(A265="","",SUMIFS(Operatsiyalar!$J:$J,Operatsiyalar!$C:$C,A265,Operatsiyalar!$E:$E,"kirim"))</f>
        <v/>
      </c>
      <c r="H262" s="8">
        <f>IF(A265="","",SUMIFS(Operatsiyalar!$I:$I,Operatsiyalar!$C:$C,A265,Operatsiyalar!$E:$E,"chiqim"))</f>
        <v/>
      </c>
      <c r="I262" s="8">
        <f>IF(A265="","",SUMIFS(Operatsiyalar!$J:$J,Operatsiyalar!$C:$C,A265,Operatsiyalar!$E:$E,"chiqim"))</f>
        <v/>
      </c>
      <c r="J262" s="8">
        <f>IF(A265="","",D265+H265-F265)</f>
        <v/>
      </c>
      <c r="K262" s="8">
        <f>IF(A265="","",E265+I265-G265)</f>
        <v/>
      </c>
    </row>
    <row r="263">
      <c r="A263" s="5" t="n"/>
      <c r="B263" s="5" t="n"/>
      <c r="C263" s="6" t="n"/>
      <c r="D263" s="8" t="n"/>
      <c r="E263" s="8" t="n"/>
      <c r="F263" s="8">
        <f>IF(A266="","",SUMIFS(Operatsiyalar!$I:$I,Operatsiyalar!$C:$C,A266,Operatsiyalar!$E:$E,"kirim"))</f>
        <v/>
      </c>
      <c r="G263" s="8">
        <f>IF(A266="","",SUMIFS(Operatsiyalar!$J:$J,Operatsiyalar!$C:$C,A266,Operatsiyalar!$E:$E,"kirim"))</f>
        <v/>
      </c>
      <c r="H263" s="8">
        <f>IF(A266="","",SUMIFS(Operatsiyalar!$I:$I,Operatsiyalar!$C:$C,A266,Operatsiyalar!$E:$E,"chiqim"))</f>
        <v/>
      </c>
      <c r="I263" s="8">
        <f>IF(A266="","",SUMIFS(Operatsiyalar!$J:$J,Operatsiyalar!$C:$C,A266,Operatsiyalar!$E:$E,"chiqim"))</f>
        <v/>
      </c>
      <c r="J263" s="8">
        <f>IF(A266="","",D266+H266-F266)</f>
        <v/>
      </c>
      <c r="K263" s="8">
        <f>IF(A266="","",E266+I266-G266)</f>
        <v/>
      </c>
    </row>
    <row r="264">
      <c r="A264" s="5" t="n"/>
      <c r="B264" s="5" t="n"/>
      <c r="C264" s="6" t="n"/>
      <c r="D264" s="8" t="n"/>
      <c r="E264" s="8" t="n"/>
      <c r="F264" s="8">
        <f>IF(A267="","",SUMIFS(Operatsiyalar!$I:$I,Operatsiyalar!$C:$C,A267,Operatsiyalar!$E:$E,"kirim"))</f>
        <v/>
      </c>
      <c r="G264" s="8">
        <f>IF(A267="","",SUMIFS(Operatsiyalar!$J:$J,Operatsiyalar!$C:$C,A267,Operatsiyalar!$E:$E,"kirim"))</f>
        <v/>
      </c>
      <c r="H264" s="8">
        <f>IF(A267="","",SUMIFS(Operatsiyalar!$I:$I,Operatsiyalar!$C:$C,A267,Operatsiyalar!$E:$E,"chiqim"))</f>
        <v/>
      </c>
      <c r="I264" s="8">
        <f>IF(A267="","",SUMIFS(Operatsiyalar!$J:$J,Operatsiyalar!$C:$C,A267,Operatsiyalar!$E:$E,"chiqim"))</f>
        <v/>
      </c>
      <c r="J264" s="8">
        <f>IF(A267="","",D267+H267-F267)</f>
        <v/>
      </c>
      <c r="K264" s="8">
        <f>IF(A267="","",E267+I267-G267)</f>
        <v/>
      </c>
    </row>
    <row r="265">
      <c r="A265" s="5" t="n"/>
      <c r="B265" s="5" t="n"/>
      <c r="C265" s="6" t="n"/>
      <c r="D265" s="8" t="n"/>
      <c r="E265" s="8" t="n"/>
      <c r="F265" s="8">
        <f>IF(A268="","",SUMIFS(Operatsiyalar!$I:$I,Operatsiyalar!$C:$C,A268,Operatsiyalar!$E:$E,"kirim"))</f>
        <v/>
      </c>
      <c r="G265" s="8">
        <f>IF(A268="","",SUMIFS(Operatsiyalar!$J:$J,Operatsiyalar!$C:$C,A268,Operatsiyalar!$E:$E,"kirim"))</f>
        <v/>
      </c>
      <c r="H265" s="8">
        <f>IF(A268="","",SUMIFS(Operatsiyalar!$I:$I,Operatsiyalar!$C:$C,A268,Operatsiyalar!$E:$E,"chiqim"))</f>
        <v/>
      </c>
      <c r="I265" s="8">
        <f>IF(A268="","",SUMIFS(Operatsiyalar!$J:$J,Operatsiyalar!$C:$C,A268,Operatsiyalar!$E:$E,"chiqim"))</f>
        <v/>
      </c>
      <c r="J265" s="8">
        <f>IF(A268="","",D268+H268-F268)</f>
        <v/>
      </c>
      <c r="K265" s="8">
        <f>IF(A268="","",E268+I268-G268)</f>
        <v/>
      </c>
    </row>
    <row r="266">
      <c r="A266" s="5" t="n"/>
      <c r="B266" s="5" t="n"/>
      <c r="C266" s="6" t="n"/>
      <c r="D266" s="8" t="n"/>
      <c r="E266" s="8" t="n"/>
      <c r="F266" s="8">
        <f>IF(A269="","",SUMIFS(Operatsiyalar!$I:$I,Operatsiyalar!$C:$C,A269,Operatsiyalar!$E:$E,"kirim"))</f>
        <v/>
      </c>
      <c r="G266" s="8">
        <f>IF(A269="","",SUMIFS(Operatsiyalar!$J:$J,Operatsiyalar!$C:$C,A269,Operatsiyalar!$E:$E,"kirim"))</f>
        <v/>
      </c>
      <c r="H266" s="8">
        <f>IF(A269="","",SUMIFS(Operatsiyalar!$I:$I,Operatsiyalar!$C:$C,A269,Operatsiyalar!$E:$E,"chiqim"))</f>
        <v/>
      </c>
      <c r="I266" s="8">
        <f>IF(A269="","",SUMIFS(Operatsiyalar!$J:$J,Operatsiyalar!$C:$C,A269,Operatsiyalar!$E:$E,"chiqim"))</f>
        <v/>
      </c>
      <c r="J266" s="8">
        <f>IF(A269="","",D269+H269-F269)</f>
        <v/>
      </c>
      <c r="K266" s="8">
        <f>IF(A269="","",E269+I269-G269)</f>
        <v/>
      </c>
    </row>
    <row r="267">
      <c r="A267" s="5" t="n"/>
      <c r="B267" s="5" t="n"/>
      <c r="C267" s="6" t="n"/>
      <c r="D267" s="8" t="n"/>
      <c r="E267" s="8" t="n"/>
      <c r="F267" s="8">
        <f>IF(A270="","",SUMIFS(Operatsiyalar!$I:$I,Operatsiyalar!$C:$C,A270,Operatsiyalar!$E:$E,"kirim"))</f>
        <v/>
      </c>
      <c r="G267" s="8">
        <f>IF(A270="","",SUMIFS(Operatsiyalar!$J:$J,Operatsiyalar!$C:$C,A270,Operatsiyalar!$E:$E,"kirim"))</f>
        <v/>
      </c>
      <c r="H267" s="8">
        <f>IF(A270="","",SUMIFS(Operatsiyalar!$I:$I,Operatsiyalar!$C:$C,A270,Operatsiyalar!$E:$E,"chiqim"))</f>
        <v/>
      </c>
      <c r="I267" s="8">
        <f>IF(A270="","",SUMIFS(Operatsiyalar!$J:$J,Operatsiyalar!$C:$C,A270,Operatsiyalar!$E:$E,"chiqim"))</f>
        <v/>
      </c>
      <c r="J267" s="8">
        <f>IF(A270="","",D270+H270-F270)</f>
        <v/>
      </c>
      <c r="K267" s="8">
        <f>IF(A270="","",E270+I270-G270)</f>
        <v/>
      </c>
    </row>
    <row r="268">
      <c r="A268" s="5" t="n"/>
      <c r="B268" s="5" t="n"/>
      <c r="C268" s="6" t="n"/>
      <c r="D268" s="8" t="n"/>
      <c r="E268" s="8" t="n"/>
      <c r="F268" s="8">
        <f>IF(A271="","",SUMIFS(Operatsiyalar!$I:$I,Operatsiyalar!$C:$C,A271,Operatsiyalar!$E:$E,"kirim"))</f>
        <v/>
      </c>
      <c r="G268" s="8">
        <f>IF(A271="","",SUMIFS(Operatsiyalar!$J:$J,Operatsiyalar!$C:$C,A271,Operatsiyalar!$E:$E,"kirim"))</f>
        <v/>
      </c>
      <c r="H268" s="8">
        <f>IF(A271="","",SUMIFS(Operatsiyalar!$I:$I,Operatsiyalar!$C:$C,A271,Operatsiyalar!$E:$E,"chiqim"))</f>
        <v/>
      </c>
      <c r="I268" s="8">
        <f>IF(A271="","",SUMIFS(Operatsiyalar!$J:$J,Operatsiyalar!$C:$C,A271,Operatsiyalar!$E:$E,"chiqim"))</f>
        <v/>
      </c>
      <c r="J268" s="8">
        <f>IF(A271="","",D271+H271-F271)</f>
        <v/>
      </c>
      <c r="K268" s="8">
        <f>IF(A271="","",E271+I271-G271)</f>
        <v/>
      </c>
    </row>
    <row r="269">
      <c r="A269" s="5" t="n"/>
      <c r="B269" s="5" t="n"/>
      <c r="C269" s="6" t="n"/>
      <c r="D269" s="8" t="n"/>
      <c r="E269" s="8" t="n"/>
      <c r="F269" s="8">
        <f>IF(A272="","",SUMIFS(Operatsiyalar!$I:$I,Operatsiyalar!$C:$C,A272,Operatsiyalar!$E:$E,"kirim"))</f>
        <v/>
      </c>
      <c r="G269" s="8">
        <f>IF(A272="","",SUMIFS(Operatsiyalar!$J:$J,Operatsiyalar!$C:$C,A272,Operatsiyalar!$E:$E,"kirim"))</f>
        <v/>
      </c>
      <c r="H269" s="8">
        <f>IF(A272="","",SUMIFS(Operatsiyalar!$I:$I,Operatsiyalar!$C:$C,A272,Operatsiyalar!$E:$E,"chiqim"))</f>
        <v/>
      </c>
      <c r="I269" s="8">
        <f>IF(A272="","",SUMIFS(Operatsiyalar!$J:$J,Operatsiyalar!$C:$C,A272,Operatsiyalar!$E:$E,"chiqim"))</f>
        <v/>
      </c>
      <c r="J269" s="8">
        <f>IF(A272="","",D272+H272-F272)</f>
        <v/>
      </c>
      <c r="K269" s="8">
        <f>IF(A272="","",E272+I272-G272)</f>
        <v/>
      </c>
    </row>
    <row r="270">
      <c r="A270" s="5" t="n"/>
      <c r="B270" s="5" t="n"/>
      <c r="C270" s="6" t="n"/>
      <c r="D270" s="8" t="n"/>
      <c r="E270" s="8" t="n"/>
      <c r="F270" s="8">
        <f>IF(A273="","",SUMIFS(Operatsiyalar!$I:$I,Operatsiyalar!$C:$C,A273,Operatsiyalar!$E:$E,"kirim"))</f>
        <v/>
      </c>
      <c r="G270" s="8">
        <f>IF(A273="","",SUMIFS(Operatsiyalar!$J:$J,Operatsiyalar!$C:$C,A273,Operatsiyalar!$E:$E,"kirim"))</f>
        <v/>
      </c>
      <c r="H270" s="8">
        <f>IF(A273="","",SUMIFS(Operatsiyalar!$I:$I,Operatsiyalar!$C:$C,A273,Operatsiyalar!$E:$E,"chiqim"))</f>
        <v/>
      </c>
      <c r="I270" s="8">
        <f>IF(A273="","",SUMIFS(Operatsiyalar!$J:$J,Operatsiyalar!$C:$C,A273,Operatsiyalar!$E:$E,"chiqim"))</f>
        <v/>
      </c>
      <c r="J270" s="8">
        <f>IF(A273="","",D273+H273-F273)</f>
        <v/>
      </c>
      <c r="K270" s="8">
        <f>IF(A273="","",E273+I273-G273)</f>
        <v/>
      </c>
    </row>
    <row r="271">
      <c r="A271" s="5" t="n"/>
      <c r="B271" s="5" t="n"/>
      <c r="C271" s="6" t="n"/>
      <c r="D271" s="8" t="n"/>
      <c r="E271" s="8" t="n"/>
      <c r="F271" s="8">
        <f>IF(A274="","",SUMIFS(Operatsiyalar!$I:$I,Operatsiyalar!$C:$C,A274,Operatsiyalar!$E:$E,"kirim"))</f>
        <v/>
      </c>
      <c r="G271" s="8">
        <f>IF(A274="","",SUMIFS(Operatsiyalar!$J:$J,Operatsiyalar!$C:$C,A274,Operatsiyalar!$E:$E,"kirim"))</f>
        <v/>
      </c>
      <c r="H271" s="8">
        <f>IF(A274="","",SUMIFS(Operatsiyalar!$I:$I,Operatsiyalar!$C:$C,A274,Operatsiyalar!$E:$E,"chiqim"))</f>
        <v/>
      </c>
      <c r="I271" s="8">
        <f>IF(A274="","",SUMIFS(Operatsiyalar!$J:$J,Operatsiyalar!$C:$C,A274,Operatsiyalar!$E:$E,"chiqim"))</f>
        <v/>
      </c>
      <c r="J271" s="8">
        <f>IF(A274="","",D274+H274-F274)</f>
        <v/>
      </c>
      <c r="K271" s="8">
        <f>IF(A274="","",E274+I274-G274)</f>
        <v/>
      </c>
    </row>
    <row r="272">
      <c r="A272" s="5" t="n"/>
      <c r="B272" s="5" t="n"/>
      <c r="C272" s="6" t="n"/>
      <c r="D272" s="8" t="n"/>
      <c r="E272" s="8" t="n"/>
      <c r="F272" s="8">
        <f>IF(A275="","",SUMIFS(Operatsiyalar!$I:$I,Operatsiyalar!$C:$C,A275,Operatsiyalar!$E:$E,"kirim"))</f>
        <v/>
      </c>
      <c r="G272" s="8">
        <f>IF(A275="","",SUMIFS(Operatsiyalar!$J:$J,Operatsiyalar!$C:$C,A275,Operatsiyalar!$E:$E,"kirim"))</f>
        <v/>
      </c>
      <c r="H272" s="8">
        <f>IF(A275="","",SUMIFS(Operatsiyalar!$I:$I,Operatsiyalar!$C:$C,A275,Operatsiyalar!$E:$E,"chiqim"))</f>
        <v/>
      </c>
      <c r="I272" s="8">
        <f>IF(A275="","",SUMIFS(Operatsiyalar!$J:$J,Operatsiyalar!$C:$C,A275,Operatsiyalar!$E:$E,"chiqim"))</f>
        <v/>
      </c>
      <c r="J272" s="8">
        <f>IF(A275="","",D275+H275-F275)</f>
        <v/>
      </c>
      <c r="K272" s="8">
        <f>IF(A275="","",E275+I275-G275)</f>
        <v/>
      </c>
    </row>
    <row r="273">
      <c r="A273" s="5" t="n"/>
      <c r="B273" s="5" t="n"/>
      <c r="C273" s="6" t="n"/>
      <c r="D273" s="8" t="n"/>
      <c r="E273" s="8" t="n"/>
      <c r="F273" s="8">
        <f>IF(A276="","",SUMIFS(Operatsiyalar!$I:$I,Operatsiyalar!$C:$C,A276,Operatsiyalar!$E:$E,"kirim"))</f>
        <v/>
      </c>
      <c r="G273" s="8">
        <f>IF(A276="","",SUMIFS(Operatsiyalar!$J:$J,Operatsiyalar!$C:$C,A276,Operatsiyalar!$E:$E,"kirim"))</f>
        <v/>
      </c>
      <c r="H273" s="8">
        <f>IF(A276="","",SUMIFS(Operatsiyalar!$I:$I,Operatsiyalar!$C:$C,A276,Operatsiyalar!$E:$E,"chiqim"))</f>
        <v/>
      </c>
      <c r="I273" s="8">
        <f>IF(A276="","",SUMIFS(Operatsiyalar!$J:$J,Operatsiyalar!$C:$C,A276,Operatsiyalar!$E:$E,"chiqim"))</f>
        <v/>
      </c>
      <c r="J273" s="8">
        <f>IF(A276="","",D276+H276-F276)</f>
        <v/>
      </c>
      <c r="K273" s="8">
        <f>IF(A276="","",E276+I276-G276)</f>
        <v/>
      </c>
    </row>
    <row r="274">
      <c r="A274" s="5" t="n"/>
      <c r="B274" s="5" t="n"/>
      <c r="C274" s="6" t="n"/>
      <c r="D274" s="8" t="n"/>
      <c r="E274" s="8" t="n"/>
      <c r="F274" s="8">
        <f>IF(A277="","",SUMIFS(Operatsiyalar!$I:$I,Operatsiyalar!$C:$C,A277,Operatsiyalar!$E:$E,"kirim"))</f>
        <v/>
      </c>
      <c r="G274" s="8">
        <f>IF(A277="","",SUMIFS(Operatsiyalar!$J:$J,Operatsiyalar!$C:$C,A277,Operatsiyalar!$E:$E,"kirim"))</f>
        <v/>
      </c>
      <c r="H274" s="8">
        <f>IF(A277="","",SUMIFS(Operatsiyalar!$I:$I,Operatsiyalar!$C:$C,A277,Operatsiyalar!$E:$E,"chiqim"))</f>
        <v/>
      </c>
      <c r="I274" s="8">
        <f>IF(A277="","",SUMIFS(Operatsiyalar!$J:$J,Operatsiyalar!$C:$C,A277,Operatsiyalar!$E:$E,"chiqim"))</f>
        <v/>
      </c>
      <c r="J274" s="8">
        <f>IF(A277="","",D277+H277-F277)</f>
        <v/>
      </c>
      <c r="K274" s="8">
        <f>IF(A277="","",E277+I277-G277)</f>
        <v/>
      </c>
    </row>
    <row r="275">
      <c r="A275" s="5" t="n"/>
      <c r="B275" s="5" t="n"/>
      <c r="C275" s="6" t="n"/>
      <c r="D275" s="8" t="n"/>
      <c r="E275" s="8" t="n"/>
      <c r="F275" s="8">
        <f>IF(A278="","",SUMIFS(Operatsiyalar!$I:$I,Operatsiyalar!$C:$C,A278,Operatsiyalar!$E:$E,"kirim"))</f>
        <v/>
      </c>
      <c r="G275" s="8">
        <f>IF(A278="","",SUMIFS(Operatsiyalar!$J:$J,Operatsiyalar!$C:$C,A278,Operatsiyalar!$E:$E,"kirim"))</f>
        <v/>
      </c>
      <c r="H275" s="8">
        <f>IF(A278="","",SUMIFS(Operatsiyalar!$I:$I,Operatsiyalar!$C:$C,A278,Operatsiyalar!$E:$E,"chiqim"))</f>
        <v/>
      </c>
      <c r="I275" s="8">
        <f>IF(A278="","",SUMIFS(Operatsiyalar!$J:$J,Operatsiyalar!$C:$C,A278,Operatsiyalar!$E:$E,"chiqim"))</f>
        <v/>
      </c>
      <c r="J275" s="8">
        <f>IF(A278="","",D278+H278-F278)</f>
        <v/>
      </c>
      <c r="K275" s="8">
        <f>IF(A278="","",E278+I278-G278)</f>
        <v/>
      </c>
    </row>
    <row r="276">
      <c r="A276" s="5" t="n"/>
      <c r="B276" s="5" t="n"/>
      <c r="C276" s="6" t="n"/>
      <c r="D276" s="8" t="n"/>
      <c r="E276" s="8" t="n"/>
      <c r="F276" s="8">
        <f>IF(A279="","",SUMIFS(Operatsiyalar!$I:$I,Operatsiyalar!$C:$C,A279,Operatsiyalar!$E:$E,"kirim"))</f>
        <v/>
      </c>
      <c r="G276" s="8">
        <f>IF(A279="","",SUMIFS(Operatsiyalar!$J:$J,Operatsiyalar!$C:$C,A279,Operatsiyalar!$E:$E,"kirim"))</f>
        <v/>
      </c>
      <c r="H276" s="8">
        <f>IF(A279="","",SUMIFS(Operatsiyalar!$I:$I,Operatsiyalar!$C:$C,A279,Operatsiyalar!$E:$E,"chiqim"))</f>
        <v/>
      </c>
      <c r="I276" s="8">
        <f>IF(A279="","",SUMIFS(Operatsiyalar!$J:$J,Operatsiyalar!$C:$C,A279,Operatsiyalar!$E:$E,"chiqim"))</f>
        <v/>
      </c>
      <c r="J276" s="8">
        <f>IF(A279="","",D279+H279-F279)</f>
        <v/>
      </c>
      <c r="K276" s="8">
        <f>IF(A279="","",E279+I279-G279)</f>
        <v/>
      </c>
    </row>
    <row r="277">
      <c r="A277" s="5" t="n"/>
      <c r="B277" s="5" t="n"/>
      <c r="C277" s="6" t="n"/>
      <c r="D277" s="8" t="n"/>
      <c r="E277" s="8" t="n"/>
      <c r="F277" s="8">
        <f>IF(A280="","",SUMIFS(Operatsiyalar!$I:$I,Operatsiyalar!$C:$C,A280,Operatsiyalar!$E:$E,"kirim"))</f>
        <v/>
      </c>
      <c r="G277" s="8">
        <f>IF(A280="","",SUMIFS(Operatsiyalar!$J:$J,Operatsiyalar!$C:$C,A280,Operatsiyalar!$E:$E,"kirim"))</f>
        <v/>
      </c>
      <c r="H277" s="8">
        <f>IF(A280="","",SUMIFS(Operatsiyalar!$I:$I,Operatsiyalar!$C:$C,A280,Operatsiyalar!$E:$E,"chiqim"))</f>
        <v/>
      </c>
      <c r="I277" s="8">
        <f>IF(A280="","",SUMIFS(Operatsiyalar!$J:$J,Operatsiyalar!$C:$C,A280,Operatsiyalar!$E:$E,"chiqim"))</f>
        <v/>
      </c>
      <c r="J277" s="8">
        <f>IF(A280="","",D280+H280-F280)</f>
        <v/>
      </c>
      <c r="K277" s="8">
        <f>IF(A280="","",E280+I280-G280)</f>
        <v/>
      </c>
    </row>
    <row r="278">
      <c r="A278" s="5" t="n"/>
      <c r="B278" s="5" t="n"/>
      <c r="C278" s="6" t="n"/>
      <c r="D278" s="8" t="n"/>
      <c r="E278" s="8" t="n"/>
      <c r="F278" s="8">
        <f>IF(A281="","",SUMIFS(Operatsiyalar!$I:$I,Operatsiyalar!$C:$C,A281,Operatsiyalar!$E:$E,"kirim"))</f>
        <v/>
      </c>
      <c r="G278" s="8">
        <f>IF(A281="","",SUMIFS(Operatsiyalar!$J:$J,Operatsiyalar!$C:$C,A281,Operatsiyalar!$E:$E,"kirim"))</f>
        <v/>
      </c>
      <c r="H278" s="8">
        <f>IF(A281="","",SUMIFS(Operatsiyalar!$I:$I,Operatsiyalar!$C:$C,A281,Operatsiyalar!$E:$E,"chiqim"))</f>
        <v/>
      </c>
      <c r="I278" s="8">
        <f>IF(A281="","",SUMIFS(Operatsiyalar!$J:$J,Operatsiyalar!$C:$C,A281,Operatsiyalar!$E:$E,"chiqim"))</f>
        <v/>
      </c>
      <c r="J278" s="8">
        <f>IF(A281="","",D281+H281-F281)</f>
        <v/>
      </c>
      <c r="K278" s="8">
        <f>IF(A281="","",E281+I281-G281)</f>
        <v/>
      </c>
    </row>
    <row r="279">
      <c r="A279" s="5" t="n"/>
      <c r="B279" s="5" t="n"/>
      <c r="C279" s="6" t="n"/>
      <c r="D279" s="8" t="n"/>
      <c r="E279" s="8" t="n"/>
      <c r="F279" s="8">
        <f>IF(A282="","",SUMIFS(Operatsiyalar!$I:$I,Operatsiyalar!$C:$C,A282,Operatsiyalar!$E:$E,"kirim"))</f>
        <v/>
      </c>
      <c r="G279" s="8">
        <f>IF(A282="","",SUMIFS(Operatsiyalar!$J:$J,Operatsiyalar!$C:$C,A282,Operatsiyalar!$E:$E,"kirim"))</f>
        <v/>
      </c>
      <c r="H279" s="8">
        <f>IF(A282="","",SUMIFS(Operatsiyalar!$I:$I,Operatsiyalar!$C:$C,A282,Operatsiyalar!$E:$E,"chiqim"))</f>
        <v/>
      </c>
      <c r="I279" s="8">
        <f>IF(A282="","",SUMIFS(Operatsiyalar!$J:$J,Operatsiyalar!$C:$C,A282,Operatsiyalar!$E:$E,"chiqim"))</f>
        <v/>
      </c>
      <c r="J279" s="8">
        <f>IF(A282="","",D282+H282-F282)</f>
        <v/>
      </c>
      <c r="K279" s="8">
        <f>IF(A282="","",E282+I282-G282)</f>
        <v/>
      </c>
    </row>
    <row r="280">
      <c r="A280" s="5" t="n"/>
      <c r="B280" s="5" t="n"/>
      <c r="C280" s="6" t="n"/>
      <c r="D280" s="8" t="n"/>
      <c r="E280" s="8" t="n"/>
      <c r="F280" s="8">
        <f>IF(A283="","",SUMIFS(Operatsiyalar!$I:$I,Operatsiyalar!$C:$C,A283,Operatsiyalar!$E:$E,"kirim"))</f>
        <v/>
      </c>
      <c r="G280" s="8">
        <f>IF(A283="","",SUMIFS(Operatsiyalar!$J:$J,Operatsiyalar!$C:$C,A283,Operatsiyalar!$E:$E,"kirim"))</f>
        <v/>
      </c>
      <c r="H280" s="8">
        <f>IF(A283="","",SUMIFS(Operatsiyalar!$I:$I,Operatsiyalar!$C:$C,A283,Operatsiyalar!$E:$E,"chiqim"))</f>
        <v/>
      </c>
      <c r="I280" s="8">
        <f>IF(A283="","",SUMIFS(Operatsiyalar!$J:$J,Operatsiyalar!$C:$C,A283,Operatsiyalar!$E:$E,"chiqim"))</f>
        <v/>
      </c>
      <c r="J280" s="8">
        <f>IF(A283="","",D283+H283-F283)</f>
        <v/>
      </c>
      <c r="K280" s="8">
        <f>IF(A283="","",E283+I283-G283)</f>
        <v/>
      </c>
    </row>
    <row r="281">
      <c r="A281" s="5" t="n"/>
      <c r="B281" s="5" t="n"/>
      <c r="C281" s="6" t="n"/>
      <c r="D281" s="8" t="n"/>
      <c r="E281" s="8" t="n"/>
      <c r="F281" s="8">
        <f>IF(A284="","",SUMIFS(Operatsiyalar!$I:$I,Operatsiyalar!$C:$C,A284,Operatsiyalar!$E:$E,"kirim"))</f>
        <v/>
      </c>
      <c r="G281" s="8">
        <f>IF(A284="","",SUMIFS(Operatsiyalar!$J:$J,Operatsiyalar!$C:$C,A284,Operatsiyalar!$E:$E,"kirim"))</f>
        <v/>
      </c>
      <c r="H281" s="8">
        <f>IF(A284="","",SUMIFS(Operatsiyalar!$I:$I,Operatsiyalar!$C:$C,A284,Operatsiyalar!$E:$E,"chiqim"))</f>
        <v/>
      </c>
      <c r="I281" s="8">
        <f>IF(A284="","",SUMIFS(Operatsiyalar!$J:$J,Operatsiyalar!$C:$C,A284,Operatsiyalar!$E:$E,"chiqim"))</f>
        <v/>
      </c>
      <c r="J281" s="8">
        <f>IF(A284="","",D284+H284-F284)</f>
        <v/>
      </c>
      <c r="K281" s="8">
        <f>IF(A284="","",E284+I284-G284)</f>
        <v/>
      </c>
    </row>
    <row r="282">
      <c r="A282" s="5" t="n"/>
      <c r="B282" s="5" t="n"/>
      <c r="C282" s="6" t="n"/>
      <c r="D282" s="8" t="n"/>
      <c r="E282" s="8" t="n"/>
      <c r="F282" s="8">
        <f>IF(A285="","",SUMIFS(Operatsiyalar!$I:$I,Operatsiyalar!$C:$C,A285,Operatsiyalar!$E:$E,"kirim"))</f>
        <v/>
      </c>
      <c r="G282" s="8">
        <f>IF(A285="","",SUMIFS(Operatsiyalar!$J:$J,Operatsiyalar!$C:$C,A285,Operatsiyalar!$E:$E,"kirim"))</f>
        <v/>
      </c>
      <c r="H282" s="8">
        <f>IF(A285="","",SUMIFS(Operatsiyalar!$I:$I,Operatsiyalar!$C:$C,A285,Operatsiyalar!$E:$E,"chiqim"))</f>
        <v/>
      </c>
      <c r="I282" s="8">
        <f>IF(A285="","",SUMIFS(Operatsiyalar!$J:$J,Operatsiyalar!$C:$C,A285,Operatsiyalar!$E:$E,"chiqim"))</f>
        <v/>
      </c>
      <c r="J282" s="8">
        <f>IF(A285="","",D285+H285-F285)</f>
        <v/>
      </c>
      <c r="K282" s="8">
        <f>IF(A285="","",E285+I285-G285)</f>
        <v/>
      </c>
    </row>
    <row r="283">
      <c r="A283" s="5" t="n"/>
      <c r="B283" s="5" t="n"/>
      <c r="C283" s="6" t="n"/>
      <c r="D283" s="8" t="n"/>
      <c r="E283" s="8" t="n"/>
      <c r="F283" s="8">
        <f>IF(A286="","",SUMIFS(Operatsiyalar!$I:$I,Operatsiyalar!$C:$C,A286,Operatsiyalar!$E:$E,"kirim"))</f>
        <v/>
      </c>
      <c r="G283" s="8">
        <f>IF(A286="","",SUMIFS(Operatsiyalar!$J:$J,Operatsiyalar!$C:$C,A286,Operatsiyalar!$E:$E,"kirim"))</f>
        <v/>
      </c>
      <c r="H283" s="8">
        <f>IF(A286="","",SUMIFS(Operatsiyalar!$I:$I,Operatsiyalar!$C:$C,A286,Operatsiyalar!$E:$E,"chiqim"))</f>
        <v/>
      </c>
      <c r="I283" s="8">
        <f>IF(A286="","",SUMIFS(Operatsiyalar!$J:$J,Operatsiyalar!$C:$C,A286,Operatsiyalar!$E:$E,"chiqim"))</f>
        <v/>
      </c>
      <c r="J283" s="8">
        <f>IF(A286="","",D286+H286-F286)</f>
        <v/>
      </c>
      <c r="K283" s="8">
        <f>IF(A286="","",E286+I286-G286)</f>
        <v/>
      </c>
    </row>
    <row r="284">
      <c r="A284" s="5" t="n"/>
      <c r="B284" s="5" t="n"/>
      <c r="C284" s="6" t="n"/>
      <c r="D284" s="8" t="n"/>
      <c r="E284" s="8" t="n"/>
      <c r="F284" s="8">
        <f>IF(A287="","",SUMIFS(Operatsiyalar!$I:$I,Operatsiyalar!$C:$C,A287,Operatsiyalar!$E:$E,"kirim"))</f>
        <v/>
      </c>
      <c r="G284" s="8">
        <f>IF(A287="","",SUMIFS(Operatsiyalar!$J:$J,Operatsiyalar!$C:$C,A287,Operatsiyalar!$E:$E,"kirim"))</f>
        <v/>
      </c>
      <c r="H284" s="8">
        <f>IF(A287="","",SUMIFS(Operatsiyalar!$I:$I,Operatsiyalar!$C:$C,A287,Operatsiyalar!$E:$E,"chiqim"))</f>
        <v/>
      </c>
      <c r="I284" s="8">
        <f>IF(A287="","",SUMIFS(Operatsiyalar!$J:$J,Operatsiyalar!$C:$C,A287,Operatsiyalar!$E:$E,"chiqim"))</f>
        <v/>
      </c>
      <c r="J284" s="8">
        <f>IF(A287="","",D287+H287-F287)</f>
        <v/>
      </c>
      <c r="K284" s="8">
        <f>IF(A287="","",E287+I287-G287)</f>
        <v/>
      </c>
    </row>
    <row r="285">
      <c r="A285" s="5" t="n"/>
      <c r="B285" s="5" t="n"/>
      <c r="C285" s="6" t="n"/>
      <c r="D285" s="8" t="n"/>
      <c r="E285" s="8" t="n"/>
      <c r="F285" s="8">
        <f>IF(A288="","",SUMIFS(Operatsiyalar!$I:$I,Operatsiyalar!$C:$C,A288,Operatsiyalar!$E:$E,"kirim"))</f>
        <v/>
      </c>
      <c r="G285" s="8">
        <f>IF(A288="","",SUMIFS(Operatsiyalar!$J:$J,Operatsiyalar!$C:$C,A288,Operatsiyalar!$E:$E,"kirim"))</f>
        <v/>
      </c>
      <c r="H285" s="8">
        <f>IF(A288="","",SUMIFS(Operatsiyalar!$I:$I,Operatsiyalar!$C:$C,A288,Operatsiyalar!$E:$E,"chiqim"))</f>
        <v/>
      </c>
      <c r="I285" s="8">
        <f>IF(A288="","",SUMIFS(Operatsiyalar!$J:$J,Operatsiyalar!$C:$C,A288,Operatsiyalar!$E:$E,"chiqim"))</f>
        <v/>
      </c>
      <c r="J285" s="8">
        <f>IF(A288="","",D288+H288-F288)</f>
        <v/>
      </c>
      <c r="K285" s="8">
        <f>IF(A288="","",E288+I288-G288)</f>
        <v/>
      </c>
    </row>
    <row r="286">
      <c r="A286" s="5" t="n"/>
      <c r="B286" s="5" t="n"/>
      <c r="C286" s="6" t="n"/>
      <c r="D286" s="8" t="n"/>
      <c r="E286" s="8" t="n"/>
      <c r="F286" s="8">
        <f>IF(A289="","",SUMIFS(Operatsiyalar!$I:$I,Operatsiyalar!$C:$C,A289,Operatsiyalar!$E:$E,"kirim"))</f>
        <v/>
      </c>
      <c r="G286" s="8">
        <f>IF(A289="","",SUMIFS(Operatsiyalar!$J:$J,Operatsiyalar!$C:$C,A289,Operatsiyalar!$E:$E,"kirim"))</f>
        <v/>
      </c>
      <c r="H286" s="8">
        <f>IF(A289="","",SUMIFS(Operatsiyalar!$I:$I,Operatsiyalar!$C:$C,A289,Operatsiyalar!$E:$E,"chiqim"))</f>
        <v/>
      </c>
      <c r="I286" s="8">
        <f>IF(A289="","",SUMIFS(Operatsiyalar!$J:$J,Operatsiyalar!$C:$C,A289,Operatsiyalar!$E:$E,"chiqim"))</f>
        <v/>
      </c>
      <c r="J286" s="8">
        <f>IF(A289="","",D289+H289-F289)</f>
        <v/>
      </c>
      <c r="K286" s="8">
        <f>IF(A289="","",E289+I289-G289)</f>
        <v/>
      </c>
    </row>
    <row r="287">
      <c r="A287" s="5" t="n"/>
      <c r="B287" s="5" t="n"/>
      <c r="C287" s="6" t="n"/>
      <c r="D287" s="8" t="n"/>
      <c r="E287" s="8" t="n"/>
      <c r="F287" s="8">
        <f>IF(A290="","",SUMIFS(Operatsiyalar!$I:$I,Operatsiyalar!$C:$C,A290,Operatsiyalar!$E:$E,"kirim"))</f>
        <v/>
      </c>
      <c r="G287" s="8">
        <f>IF(A290="","",SUMIFS(Operatsiyalar!$J:$J,Operatsiyalar!$C:$C,A290,Operatsiyalar!$E:$E,"kirim"))</f>
        <v/>
      </c>
      <c r="H287" s="8">
        <f>IF(A290="","",SUMIFS(Operatsiyalar!$I:$I,Operatsiyalar!$C:$C,A290,Operatsiyalar!$E:$E,"chiqim"))</f>
        <v/>
      </c>
      <c r="I287" s="8">
        <f>IF(A290="","",SUMIFS(Operatsiyalar!$J:$J,Operatsiyalar!$C:$C,A290,Operatsiyalar!$E:$E,"chiqim"))</f>
        <v/>
      </c>
      <c r="J287" s="8">
        <f>IF(A290="","",D290+H290-F290)</f>
        <v/>
      </c>
      <c r="K287" s="8">
        <f>IF(A290="","",E290+I290-G290)</f>
        <v/>
      </c>
    </row>
    <row r="288">
      <c r="A288" s="5" t="n"/>
      <c r="B288" s="5" t="n"/>
      <c r="C288" s="6" t="n"/>
      <c r="D288" s="8" t="n"/>
      <c r="E288" s="8" t="n"/>
      <c r="F288" s="8">
        <f>IF(A291="","",SUMIFS(Operatsiyalar!$I:$I,Operatsiyalar!$C:$C,A291,Operatsiyalar!$E:$E,"kirim"))</f>
        <v/>
      </c>
      <c r="G288" s="8">
        <f>IF(A291="","",SUMIFS(Operatsiyalar!$J:$J,Operatsiyalar!$C:$C,A291,Operatsiyalar!$E:$E,"kirim"))</f>
        <v/>
      </c>
      <c r="H288" s="8">
        <f>IF(A291="","",SUMIFS(Operatsiyalar!$I:$I,Operatsiyalar!$C:$C,A291,Operatsiyalar!$E:$E,"chiqim"))</f>
        <v/>
      </c>
      <c r="I288" s="8">
        <f>IF(A291="","",SUMIFS(Operatsiyalar!$J:$J,Operatsiyalar!$C:$C,A291,Operatsiyalar!$E:$E,"chiqim"))</f>
        <v/>
      </c>
      <c r="J288" s="8">
        <f>IF(A291="","",D291+H291-F291)</f>
        <v/>
      </c>
      <c r="K288" s="8">
        <f>IF(A291="","",E291+I291-G291)</f>
        <v/>
      </c>
    </row>
    <row r="289">
      <c r="A289" s="5" t="n"/>
      <c r="B289" s="5" t="n"/>
      <c r="C289" s="6" t="n"/>
      <c r="D289" s="8" t="n"/>
      <c r="E289" s="8" t="n"/>
      <c r="F289" s="8">
        <f>IF(A292="","",SUMIFS(Operatsiyalar!$I:$I,Operatsiyalar!$C:$C,A292,Operatsiyalar!$E:$E,"kirim"))</f>
        <v/>
      </c>
      <c r="G289" s="8">
        <f>IF(A292="","",SUMIFS(Operatsiyalar!$J:$J,Operatsiyalar!$C:$C,A292,Operatsiyalar!$E:$E,"kirim"))</f>
        <v/>
      </c>
      <c r="H289" s="8">
        <f>IF(A292="","",SUMIFS(Operatsiyalar!$I:$I,Operatsiyalar!$C:$C,A292,Operatsiyalar!$E:$E,"chiqim"))</f>
        <v/>
      </c>
      <c r="I289" s="8">
        <f>IF(A292="","",SUMIFS(Operatsiyalar!$J:$J,Operatsiyalar!$C:$C,A292,Operatsiyalar!$E:$E,"chiqim"))</f>
        <v/>
      </c>
      <c r="J289" s="8">
        <f>IF(A292="","",D292+H292-F292)</f>
        <v/>
      </c>
      <c r="K289" s="8">
        <f>IF(A292="","",E292+I292-G292)</f>
        <v/>
      </c>
    </row>
    <row r="290">
      <c r="A290" s="5" t="n"/>
      <c r="B290" s="5" t="n"/>
      <c r="C290" s="6" t="n"/>
      <c r="D290" s="8" t="n"/>
      <c r="E290" s="8" t="n"/>
      <c r="F290" s="8">
        <f>IF(A293="","",SUMIFS(Operatsiyalar!$I:$I,Operatsiyalar!$C:$C,A293,Operatsiyalar!$E:$E,"kirim"))</f>
        <v/>
      </c>
      <c r="G290" s="8">
        <f>IF(A293="","",SUMIFS(Operatsiyalar!$J:$J,Operatsiyalar!$C:$C,A293,Operatsiyalar!$E:$E,"kirim"))</f>
        <v/>
      </c>
      <c r="H290" s="8">
        <f>IF(A293="","",SUMIFS(Operatsiyalar!$I:$I,Operatsiyalar!$C:$C,A293,Operatsiyalar!$E:$E,"chiqim"))</f>
        <v/>
      </c>
      <c r="I290" s="8">
        <f>IF(A293="","",SUMIFS(Operatsiyalar!$J:$J,Operatsiyalar!$C:$C,A293,Operatsiyalar!$E:$E,"chiqim"))</f>
        <v/>
      </c>
      <c r="J290" s="8">
        <f>IF(A293="","",D293+H293-F293)</f>
        <v/>
      </c>
      <c r="K290" s="8">
        <f>IF(A293="","",E293+I293-G293)</f>
        <v/>
      </c>
    </row>
    <row r="291">
      <c r="A291" s="5" t="n"/>
      <c r="B291" s="5" t="n"/>
      <c r="C291" s="6" t="n"/>
      <c r="D291" s="8" t="n"/>
      <c r="E291" s="8" t="n"/>
      <c r="F291" s="8">
        <f>IF(A294="","",SUMIFS(Operatsiyalar!$I:$I,Operatsiyalar!$C:$C,A294,Operatsiyalar!$E:$E,"kirim"))</f>
        <v/>
      </c>
      <c r="G291" s="8">
        <f>IF(A294="","",SUMIFS(Operatsiyalar!$J:$J,Operatsiyalar!$C:$C,A294,Operatsiyalar!$E:$E,"kirim"))</f>
        <v/>
      </c>
      <c r="H291" s="8">
        <f>IF(A294="","",SUMIFS(Operatsiyalar!$I:$I,Operatsiyalar!$C:$C,A294,Operatsiyalar!$E:$E,"chiqim"))</f>
        <v/>
      </c>
      <c r="I291" s="8">
        <f>IF(A294="","",SUMIFS(Operatsiyalar!$J:$J,Operatsiyalar!$C:$C,A294,Operatsiyalar!$E:$E,"chiqim"))</f>
        <v/>
      </c>
      <c r="J291" s="8">
        <f>IF(A294="","",D294+H294-F294)</f>
        <v/>
      </c>
      <c r="K291" s="8">
        <f>IF(A294="","",E294+I294-G294)</f>
        <v/>
      </c>
    </row>
    <row r="292">
      <c r="A292" s="5" t="n"/>
      <c r="B292" s="5" t="n"/>
      <c r="C292" s="6" t="n"/>
      <c r="D292" s="8" t="n"/>
      <c r="E292" s="8" t="n"/>
      <c r="F292" s="8">
        <f>IF(A295="","",SUMIFS(Operatsiyalar!$I:$I,Operatsiyalar!$C:$C,A295,Operatsiyalar!$E:$E,"kirim"))</f>
        <v/>
      </c>
      <c r="G292" s="8">
        <f>IF(A295="","",SUMIFS(Operatsiyalar!$J:$J,Operatsiyalar!$C:$C,A295,Operatsiyalar!$E:$E,"kirim"))</f>
        <v/>
      </c>
      <c r="H292" s="8">
        <f>IF(A295="","",SUMIFS(Operatsiyalar!$I:$I,Operatsiyalar!$C:$C,A295,Operatsiyalar!$E:$E,"chiqim"))</f>
        <v/>
      </c>
      <c r="I292" s="8">
        <f>IF(A295="","",SUMIFS(Operatsiyalar!$J:$J,Operatsiyalar!$C:$C,A295,Operatsiyalar!$E:$E,"chiqim"))</f>
        <v/>
      </c>
      <c r="J292" s="8">
        <f>IF(A295="","",D295+H295-F295)</f>
        <v/>
      </c>
      <c r="K292" s="8">
        <f>IF(A295="","",E295+I295-G295)</f>
        <v/>
      </c>
    </row>
    <row r="293">
      <c r="A293" s="5" t="n"/>
      <c r="B293" s="5" t="n"/>
      <c r="C293" s="6" t="n"/>
      <c r="D293" s="8" t="n"/>
      <c r="E293" s="8" t="n"/>
      <c r="F293" s="8">
        <f>IF(A296="","",SUMIFS(Operatsiyalar!$I:$I,Operatsiyalar!$C:$C,A296,Operatsiyalar!$E:$E,"kirim"))</f>
        <v/>
      </c>
      <c r="G293" s="8">
        <f>IF(A296="","",SUMIFS(Operatsiyalar!$J:$J,Operatsiyalar!$C:$C,A296,Operatsiyalar!$E:$E,"kirim"))</f>
        <v/>
      </c>
      <c r="H293" s="8">
        <f>IF(A296="","",SUMIFS(Operatsiyalar!$I:$I,Operatsiyalar!$C:$C,A296,Operatsiyalar!$E:$E,"chiqim"))</f>
        <v/>
      </c>
      <c r="I293" s="8">
        <f>IF(A296="","",SUMIFS(Operatsiyalar!$J:$J,Operatsiyalar!$C:$C,A296,Operatsiyalar!$E:$E,"chiqim"))</f>
        <v/>
      </c>
      <c r="J293" s="8">
        <f>IF(A296="","",D296+H296-F296)</f>
        <v/>
      </c>
      <c r="K293" s="8">
        <f>IF(A296="","",E296+I296-G296)</f>
        <v/>
      </c>
    </row>
    <row r="294">
      <c r="A294" s="5" t="n"/>
      <c r="B294" s="5" t="n"/>
      <c r="C294" s="6" t="n"/>
      <c r="D294" s="8" t="n"/>
      <c r="E294" s="8" t="n"/>
      <c r="F294" s="8">
        <f>IF(A297="","",SUMIFS(Operatsiyalar!$I:$I,Operatsiyalar!$C:$C,A297,Operatsiyalar!$E:$E,"kirim"))</f>
        <v/>
      </c>
      <c r="G294" s="8">
        <f>IF(A297="","",SUMIFS(Operatsiyalar!$J:$J,Operatsiyalar!$C:$C,A297,Operatsiyalar!$E:$E,"kirim"))</f>
        <v/>
      </c>
      <c r="H294" s="8">
        <f>IF(A297="","",SUMIFS(Operatsiyalar!$I:$I,Operatsiyalar!$C:$C,A297,Operatsiyalar!$E:$E,"chiqim"))</f>
        <v/>
      </c>
      <c r="I294" s="8">
        <f>IF(A297="","",SUMIFS(Operatsiyalar!$J:$J,Operatsiyalar!$C:$C,A297,Operatsiyalar!$E:$E,"chiqim"))</f>
        <v/>
      </c>
      <c r="J294" s="8">
        <f>IF(A297="","",D297+H297-F297)</f>
        <v/>
      </c>
      <c r="K294" s="8">
        <f>IF(A297="","",E297+I297-G297)</f>
        <v/>
      </c>
    </row>
    <row r="295">
      <c r="A295" s="5" t="n"/>
      <c r="B295" s="5" t="n"/>
      <c r="C295" s="6" t="n"/>
      <c r="D295" s="8" t="n"/>
      <c r="E295" s="8" t="n"/>
      <c r="F295" s="8">
        <f>IF(A298="","",SUMIFS(Operatsiyalar!$I:$I,Operatsiyalar!$C:$C,A298,Operatsiyalar!$E:$E,"kirim"))</f>
        <v/>
      </c>
      <c r="G295" s="8">
        <f>IF(A298="","",SUMIFS(Operatsiyalar!$J:$J,Operatsiyalar!$C:$C,A298,Operatsiyalar!$E:$E,"kirim"))</f>
        <v/>
      </c>
      <c r="H295" s="8">
        <f>IF(A298="","",SUMIFS(Operatsiyalar!$I:$I,Operatsiyalar!$C:$C,A298,Operatsiyalar!$E:$E,"chiqim"))</f>
        <v/>
      </c>
      <c r="I295" s="8">
        <f>IF(A298="","",SUMIFS(Operatsiyalar!$J:$J,Operatsiyalar!$C:$C,A298,Operatsiyalar!$E:$E,"chiqim"))</f>
        <v/>
      </c>
      <c r="J295" s="8">
        <f>IF(A298="","",D298+H298-F298)</f>
        <v/>
      </c>
      <c r="K295" s="8">
        <f>IF(A298="","",E298+I298-G298)</f>
        <v/>
      </c>
    </row>
    <row r="296">
      <c r="A296" s="5" t="n"/>
      <c r="B296" s="5" t="n"/>
      <c r="C296" s="6" t="n"/>
      <c r="D296" s="8" t="n"/>
      <c r="E296" s="8" t="n"/>
      <c r="F296" s="8">
        <f>IF(A299="","",SUMIFS(Operatsiyalar!$I:$I,Operatsiyalar!$C:$C,A299,Operatsiyalar!$E:$E,"kirim"))</f>
        <v/>
      </c>
      <c r="G296" s="8">
        <f>IF(A299="","",SUMIFS(Operatsiyalar!$J:$J,Operatsiyalar!$C:$C,A299,Operatsiyalar!$E:$E,"kirim"))</f>
        <v/>
      </c>
      <c r="H296" s="8">
        <f>IF(A299="","",SUMIFS(Operatsiyalar!$I:$I,Operatsiyalar!$C:$C,A299,Operatsiyalar!$E:$E,"chiqim"))</f>
        <v/>
      </c>
      <c r="I296" s="8">
        <f>IF(A299="","",SUMIFS(Operatsiyalar!$J:$J,Operatsiyalar!$C:$C,A299,Operatsiyalar!$E:$E,"chiqim"))</f>
        <v/>
      </c>
      <c r="J296" s="8">
        <f>IF(A299="","",D299+H299-F299)</f>
        <v/>
      </c>
      <c r="K296" s="8">
        <f>IF(A299="","",E299+I299-G299)</f>
        <v/>
      </c>
    </row>
    <row r="297">
      <c r="A297" s="5" t="n"/>
      <c r="B297" s="5" t="n"/>
      <c r="C297" s="6" t="n"/>
      <c r="D297" s="8" t="n"/>
      <c r="E297" s="8" t="n"/>
      <c r="F297" s="8">
        <f>IF(A300="","",SUMIFS(Operatsiyalar!$I:$I,Operatsiyalar!$C:$C,A300,Operatsiyalar!$E:$E,"kirim"))</f>
        <v/>
      </c>
      <c r="G297" s="8">
        <f>IF(A300="","",SUMIFS(Operatsiyalar!$J:$J,Operatsiyalar!$C:$C,A300,Operatsiyalar!$E:$E,"kirim"))</f>
        <v/>
      </c>
      <c r="H297" s="8">
        <f>IF(A300="","",SUMIFS(Operatsiyalar!$I:$I,Operatsiyalar!$C:$C,A300,Operatsiyalar!$E:$E,"chiqim"))</f>
        <v/>
      </c>
      <c r="I297" s="8">
        <f>IF(A300="","",SUMIFS(Operatsiyalar!$J:$J,Operatsiyalar!$C:$C,A300,Operatsiyalar!$E:$E,"chiqim"))</f>
        <v/>
      </c>
      <c r="J297" s="8">
        <f>IF(A300="","",D300+H300-F300)</f>
        <v/>
      </c>
      <c r="K297" s="8">
        <f>IF(A300="","",E300+I300-G300)</f>
        <v/>
      </c>
    </row>
    <row r="298">
      <c r="A298" s="5" t="n"/>
      <c r="B298" s="5" t="n"/>
      <c r="C298" s="6" t="n"/>
      <c r="D298" s="8" t="n"/>
      <c r="E298" s="8" t="n"/>
      <c r="F298" s="8">
        <f>IF(A301="","",SUMIFS(Operatsiyalar!$I:$I,Operatsiyalar!$C:$C,A301,Operatsiyalar!$E:$E,"kirim"))</f>
        <v/>
      </c>
      <c r="G298" s="8">
        <f>IF(A301="","",SUMIFS(Operatsiyalar!$J:$J,Operatsiyalar!$C:$C,A301,Operatsiyalar!$E:$E,"kirim"))</f>
        <v/>
      </c>
      <c r="H298" s="8">
        <f>IF(A301="","",SUMIFS(Operatsiyalar!$I:$I,Operatsiyalar!$C:$C,A301,Operatsiyalar!$E:$E,"chiqim"))</f>
        <v/>
      </c>
      <c r="I298" s="8">
        <f>IF(A301="","",SUMIFS(Operatsiyalar!$J:$J,Operatsiyalar!$C:$C,A301,Operatsiyalar!$E:$E,"chiqim"))</f>
        <v/>
      </c>
      <c r="J298" s="8">
        <f>IF(A301="","",D301+H301-F301)</f>
        <v/>
      </c>
      <c r="K298" s="8">
        <f>IF(A301="","",E301+I301-G301)</f>
        <v/>
      </c>
    </row>
    <row r="299">
      <c r="A299" s="5" t="n"/>
      <c r="B299" s="5" t="n"/>
      <c r="C299" s="6" t="n"/>
      <c r="D299" s="8" t="n"/>
      <c r="E299" s="8" t="n"/>
      <c r="F299" s="8">
        <f>IF(A302="","",SUMIFS(Operatsiyalar!$I:$I,Operatsiyalar!$C:$C,A302,Operatsiyalar!$E:$E,"kirim"))</f>
        <v/>
      </c>
      <c r="G299" s="8">
        <f>IF(A302="","",SUMIFS(Operatsiyalar!$J:$J,Operatsiyalar!$C:$C,A302,Operatsiyalar!$E:$E,"kirim"))</f>
        <v/>
      </c>
      <c r="H299" s="8">
        <f>IF(A302="","",SUMIFS(Operatsiyalar!$I:$I,Operatsiyalar!$C:$C,A302,Operatsiyalar!$E:$E,"chiqim"))</f>
        <v/>
      </c>
      <c r="I299" s="8">
        <f>IF(A302="","",SUMIFS(Operatsiyalar!$J:$J,Operatsiyalar!$C:$C,A302,Operatsiyalar!$E:$E,"chiqim"))</f>
        <v/>
      </c>
      <c r="J299" s="8">
        <f>IF(A302="","",D302+H302-F302)</f>
        <v/>
      </c>
      <c r="K299" s="8">
        <f>IF(A302="","",E302+I302-G302)</f>
        <v/>
      </c>
    </row>
    <row r="300">
      <c r="A300" s="5" t="n"/>
      <c r="B300" s="5" t="n"/>
      <c r="C300" s="6" t="n"/>
      <c r="D300" s="8" t="n"/>
      <c r="E300" s="8" t="n"/>
      <c r="F300" s="8">
        <f>IF(A303="","",SUMIFS(Operatsiyalar!$I:$I,Operatsiyalar!$C:$C,A303,Operatsiyalar!$E:$E,"kirim"))</f>
        <v/>
      </c>
      <c r="G300" s="8">
        <f>IF(A303="","",SUMIFS(Operatsiyalar!$J:$J,Operatsiyalar!$C:$C,A303,Operatsiyalar!$E:$E,"kirim"))</f>
        <v/>
      </c>
      <c r="H300" s="8">
        <f>IF(A303="","",SUMIFS(Operatsiyalar!$I:$I,Operatsiyalar!$C:$C,A303,Operatsiyalar!$E:$E,"chiqim"))</f>
        <v/>
      </c>
      <c r="I300" s="8">
        <f>IF(A303="","",SUMIFS(Operatsiyalar!$J:$J,Operatsiyalar!$C:$C,A303,Operatsiyalar!$E:$E,"chiqim"))</f>
        <v/>
      </c>
      <c r="J300" s="8">
        <f>IF(A303="","",D303+H303-F303)</f>
        <v/>
      </c>
      <c r="K300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2026-04-16T07:16:16Z</dcterms:modified>
</cp:coreProperties>
</file>