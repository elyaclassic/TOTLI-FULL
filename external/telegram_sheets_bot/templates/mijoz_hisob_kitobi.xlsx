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siyalar" sheetId="1" state="visible" r:id="rId1"/>
    <sheet xmlns:r="http://schemas.openxmlformats.org/officeDocument/2006/relationships" name="Mijozlar" sheetId="2" state="visible" r:id="rId2"/>
    <sheet xmlns:r="http://schemas.openxmlformats.org/officeDocument/2006/relationships" name="Hisob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4" fontId="4" fillId="0" borderId="1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8" customWidth="1" min="4" max="4"/>
    <col width="16" customWidth="1" min="5" max="5"/>
    <col width="12" customWidth="1" min="6" max="6"/>
    <col width="16" customWidth="1" min="7" max="7"/>
    <col width="14" customWidth="1" min="8" max="8"/>
    <col width="16" customWidth="1" min="9" max="9"/>
    <col width="16" customWidth="1" min="10" max="10"/>
    <col width="24" customWidth="1" min="11" max="11"/>
    <col width="18" customWidth="1" min="12" max="12"/>
    <col width="44" customWidth="1" min="13" max="13"/>
    <col width="12" customWidth="1" min="14" max="14"/>
  </cols>
  <sheetData>
    <row r="1">
      <c r="A1" s="1" t="inlineStr">
        <is>
          <t>Operatsiyalar jurnali</t>
        </is>
      </c>
    </row>
    <row r="2">
      <c r="A2" s="2" t="inlineStr">
        <is>
          <t>Bot yozadigan asosiy jadval. Mijoz va summa shu yerga tushadi.</t>
        </is>
      </c>
    </row>
    <row r="3">
      <c r="A3" s="3" t="n"/>
      <c r="B3" s="3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10" t="inlineStr">
        <is>
          <t>Sana</t>
        </is>
      </c>
      <c r="B4" s="10" t="inlineStr">
        <is>
          <t>Vaqt</t>
        </is>
      </c>
      <c r="C4" s="11" t="inlineStr">
        <is>
          <t>Mijoz_ID</t>
        </is>
      </c>
      <c r="D4" s="11" t="inlineStr">
        <is>
          <t>Mijoz_nomi</t>
        </is>
      </c>
      <c r="E4" s="11" t="inlineStr">
        <is>
          <t>Turi</t>
        </is>
      </c>
      <c r="F4" s="11" t="inlineStr">
        <is>
          <t>Valyuta</t>
        </is>
      </c>
      <c r="G4" s="12" t="inlineStr">
        <is>
          <t>Summa</t>
        </is>
      </c>
      <c r="H4" s="13" t="inlineStr">
        <is>
          <t>Kurs</t>
        </is>
      </c>
      <c r="I4" s="13" t="inlineStr">
        <is>
          <t>Summa_uzs</t>
        </is>
      </c>
      <c r="J4" s="13" t="inlineStr">
        <is>
          <t>Summa_usd</t>
        </is>
      </c>
      <c r="K4" s="11" t="inlineStr">
        <is>
          <t>Izoh</t>
        </is>
      </c>
      <c r="L4" s="11" t="inlineStr">
        <is>
          <t>Telegram_user</t>
        </is>
      </c>
      <c r="M4" s="11" t="inlineStr">
        <is>
          <t>Matn</t>
        </is>
      </c>
      <c r="N4" s="11" t="inlineStr">
        <is>
          <t>Manba</t>
        </is>
      </c>
    </row>
    <row r="5">
      <c r="A5" s="5" t="inlineStr">
        <is>
          <t>2026-04-08</t>
        </is>
      </c>
      <c r="B5" s="5" t="inlineStr">
        <is>
          <t>21:04:22</t>
        </is>
      </c>
      <c r="C5" s="6" t="n">
        <v>1</v>
      </c>
      <c r="D5" s="6" t="inlineStr">
        <is>
          <t>Farruh aka</t>
        </is>
      </c>
      <c r="E5" s="6" t="inlineStr">
        <is>
          <t>kirim</t>
        </is>
      </c>
      <c r="F5" s="6" t="inlineStr">
        <is>
          <t>UZS</t>
        </is>
      </c>
      <c r="G5" s="7" t="n">
        <v>100</v>
      </c>
      <c r="H5" s="8" t="n">
        <v>12100</v>
      </c>
      <c r="I5" s="8" t="n">
        <v>100</v>
      </c>
      <c r="J5" s="8" t="n">
        <v>0.008264462809917356</v>
      </c>
      <c r="K5" s="6" t="inlineStr">
        <is>
          <t>Telegram orqali kirim</t>
        </is>
      </c>
      <c r="L5" s="6" t="inlineStr">
        <is>
          <t>@elya_classic</t>
        </is>
      </c>
      <c r="M5" s="6" t="inlineStr">
        <is>
          <t>kirim UZS 100 Farruh aka</t>
        </is>
      </c>
      <c r="N5" s="6" t="inlineStr">
        <is>
          <t>matn</t>
        </is>
      </c>
    </row>
    <row r="6">
      <c r="A6" s="5" t="inlineStr">
        <is>
          <t>2026-04-08</t>
        </is>
      </c>
      <c r="B6" s="5" t="inlineStr">
        <is>
          <t>21:20:44</t>
        </is>
      </c>
      <c r="C6" s="6" t="n">
        <v>1</v>
      </c>
      <c r="D6" s="6" t="inlineStr">
        <is>
          <t>Farruh aka</t>
        </is>
      </c>
      <c r="E6" s="6" t="inlineStr">
        <is>
          <t>chiqim</t>
        </is>
      </c>
      <c r="F6" s="6" t="inlineStr">
        <is>
          <t>USD</t>
        </is>
      </c>
      <c r="G6" s="7" t="n">
        <v>15</v>
      </c>
      <c r="H6" s="8" t="n">
        <v>12200</v>
      </c>
      <c r="I6" s="8" t="n">
        <v>183000</v>
      </c>
      <c r="J6" s="8" t="n">
        <v>15</v>
      </c>
      <c r="K6" s="6" t="inlineStr">
        <is>
          <t>Telegram orqali chiqim</t>
        </is>
      </c>
      <c r="L6" s="6" t="inlineStr">
        <is>
          <t>@Zapchast_2121</t>
        </is>
      </c>
      <c r="M6" s="6" t="inlineStr">
        <is>
          <t>chiqim USD 15 Farruh aka</t>
        </is>
      </c>
      <c r="N6" s="6" t="inlineStr">
        <is>
          <t>matn</t>
        </is>
      </c>
    </row>
    <row r="7">
      <c r="A7" s="5" t="inlineStr">
        <is>
          <t>2026-04-11</t>
        </is>
      </c>
      <c r="B7" s="5" t="inlineStr">
        <is>
          <t>13:19:24</t>
        </is>
      </c>
      <c r="C7" s="6" t="inlineStr"/>
      <c r="D7" s="6" t="inlineStr"/>
      <c r="E7" s="6" t="inlineStr"/>
      <c r="F7" s="6" t="inlineStr">
        <is>
          <t>UZS</t>
        </is>
      </c>
      <c r="G7" s="7" t="inlineStr"/>
      <c r="H7" s="8" t="inlineStr"/>
      <c r="I7" s="8" t="inlineStr"/>
      <c r="J7" s="8" t="inlineStr"/>
      <c r="K7" s="6" t="inlineStr">
        <is>
          <t>Murodjon</t>
        </is>
      </c>
      <c r="L7" s="6" t="inlineStr">
        <is>
          <t>@Zapchast_2121</t>
        </is>
      </c>
      <c r="M7" s="6" t="inlineStr">
        <is>
          <t>Murodjon</t>
        </is>
      </c>
      <c r="N7" s="6" t="inlineStr">
        <is>
          <t>matn</t>
        </is>
      </c>
    </row>
    <row r="8">
      <c r="A8" s="5" t="inlineStr">
        <is>
          <t>2026-04-11</t>
        </is>
      </c>
      <c r="B8" s="5" t="inlineStr">
        <is>
          <t>13:19:46</t>
        </is>
      </c>
      <c r="C8" s="6" t="inlineStr"/>
      <c r="D8" s="6" t="inlineStr"/>
      <c r="E8" s="6" t="inlineStr"/>
      <c r="F8" s="6" t="inlineStr">
        <is>
          <t>UZS</t>
        </is>
      </c>
      <c r="G8" s="7" t="inlineStr"/>
      <c r="H8" s="8" t="inlineStr"/>
      <c r="I8" s="8" t="inlineStr"/>
      <c r="J8" s="8" t="inlineStr"/>
      <c r="K8" s="6" t="inlineStr">
        <is>
          <t>Murotjon</t>
        </is>
      </c>
      <c r="L8" s="6" t="inlineStr">
        <is>
          <t>@Zapchast_2121</t>
        </is>
      </c>
      <c r="M8" s="6" t="inlineStr">
        <is>
          <t>Murotjon</t>
        </is>
      </c>
      <c r="N8" s="6" t="inlineStr">
        <is>
          <t>matn</t>
        </is>
      </c>
    </row>
    <row r="9">
      <c r="A9" s="5" t="inlineStr">
        <is>
          <t>2026-04-11</t>
        </is>
      </c>
      <c r="B9" s="5" t="inlineStr">
        <is>
          <t>13:20:06</t>
        </is>
      </c>
      <c r="C9" s="6" t="inlineStr"/>
      <c r="D9" s="6" t="inlineStr"/>
      <c r="E9" s="6" t="inlineStr"/>
      <c r="F9" s="6" t="inlineStr">
        <is>
          <t>UZS</t>
        </is>
      </c>
      <c r="G9" s="7" t="inlineStr"/>
      <c r="H9" s="8" t="inlineStr"/>
      <c r="I9" s="8" t="inlineStr"/>
      <c r="J9" s="8" t="inlineStr"/>
      <c r="K9" s="6" t="inlineStr">
        <is>
          <t>Murodjon</t>
        </is>
      </c>
      <c r="L9" s="6" t="inlineStr">
        <is>
          <t>@Zapchast_2121</t>
        </is>
      </c>
      <c r="M9" s="6" t="inlineStr">
        <is>
          <t>Murodjon</t>
        </is>
      </c>
      <c r="N9" s="6" t="inlineStr">
        <is>
          <t>matn</t>
        </is>
      </c>
    </row>
    <row r="10">
      <c r="A10" s="5" t="inlineStr">
        <is>
          <t>2026-04-11</t>
        </is>
      </c>
      <c r="B10" s="5" t="inlineStr">
        <is>
          <t>13:20:28</t>
        </is>
      </c>
      <c r="C10" s="6" t="inlineStr"/>
      <c r="D10" s="6" t="inlineStr"/>
      <c r="E10" s="6" t="inlineStr"/>
      <c r="F10" s="6" t="inlineStr">
        <is>
          <t>UZS</t>
        </is>
      </c>
      <c r="G10" s="7" t="inlineStr"/>
      <c r="H10" s="8" t="inlineStr"/>
      <c r="I10" s="8" t="inlineStr"/>
      <c r="J10" s="8" t="inlineStr"/>
      <c r="K10" s="6" t="inlineStr">
        <is>
          <t>D:\TOTLI BI\external\telegram_sheets_bot\templates\mijoz_hisob_kitobi.xlsx
Murodjon</t>
        </is>
      </c>
      <c r="L10" s="6" t="inlineStr">
        <is>
          <t>@Zapchast_2121</t>
        </is>
      </c>
      <c r="M10" s="6" t="inlineStr">
        <is>
          <t>D:\TOTLI BI\external\telegram_sheets_bot\templates\mijoz_hisob_kitobi.xlsx
Murodjon</t>
        </is>
      </c>
      <c r="N10" s="6" t="inlineStr">
        <is>
          <t>matn</t>
        </is>
      </c>
    </row>
    <row r="11">
      <c r="A11" s="5" t="inlineStr">
        <is>
          <t>2026-04-11</t>
        </is>
      </c>
      <c r="B11" s="5" t="inlineStr">
        <is>
          <t>13:24:09</t>
        </is>
      </c>
      <c r="C11" s="6" t="inlineStr"/>
      <c r="D11" s="6" t="inlineStr"/>
      <c r="E11" s="6" t="inlineStr"/>
      <c r="F11" s="6" t="inlineStr">
        <is>
          <t>UZS</t>
        </is>
      </c>
      <c r="G11" s="7" t="inlineStr"/>
      <c r="H11" s="8" t="inlineStr"/>
      <c r="I11" s="8" t="inlineStr"/>
      <c r="J11" s="8" t="inlineStr"/>
      <c r="K11" s="6" t="inlineStr">
        <is>
          <t>Mutex</t>
        </is>
      </c>
      <c r="L11" s="6" t="inlineStr">
        <is>
          <t>@Zapchast_2121</t>
        </is>
      </c>
      <c r="M11" s="6" t="inlineStr">
        <is>
          <t>Mutex</t>
        </is>
      </c>
      <c r="N11" s="6" t="inlineStr">
        <is>
          <t>matn</t>
        </is>
      </c>
    </row>
    <row r="12">
      <c r="A12" s="5" t="inlineStr">
        <is>
          <t>2026-04-11</t>
        </is>
      </c>
      <c r="B12" s="5" t="inlineStr">
        <is>
          <t>13:24:26</t>
        </is>
      </c>
      <c r="C12" s="6" t="inlineStr"/>
      <c r="D12" s="6" t="inlineStr"/>
      <c r="E12" s="6" t="inlineStr"/>
      <c r="F12" s="6" t="inlineStr">
        <is>
          <t>UZS</t>
        </is>
      </c>
      <c r="G12" s="7" t="inlineStr"/>
      <c r="H12" s="8" t="inlineStr"/>
      <c r="I12" s="8" t="inlineStr"/>
      <c r="J12" s="8" t="inlineStr"/>
      <c r="K12" s="6" t="inlineStr">
        <is>
          <t>Islomxon Usta Ozi</t>
        </is>
      </c>
      <c r="L12" s="6" t="inlineStr">
        <is>
          <t>@Zapchast_2121</t>
        </is>
      </c>
      <c r="M12" s="6" t="inlineStr">
        <is>
          <t>Islomxon Usta Ozi</t>
        </is>
      </c>
      <c r="N12" s="6" t="inlineStr">
        <is>
          <t>matn</t>
        </is>
      </c>
    </row>
    <row r="13">
      <c r="A13" s="5" t="inlineStr">
        <is>
          <t>2026-04-12</t>
        </is>
      </c>
      <c r="B13" s="5" t="inlineStr">
        <is>
          <t>16:33:11</t>
        </is>
      </c>
      <c r="C13" s="6" t="inlineStr"/>
      <c r="D13" s="6" t="inlineStr"/>
      <c r="E13" s="6" t="inlineStr"/>
      <c r="F13" s="6" t="inlineStr">
        <is>
          <t>UZS</t>
        </is>
      </c>
      <c r="G13" s="7" t="inlineStr"/>
      <c r="H13" s="8" t="inlineStr"/>
      <c r="I13" s="8" t="inlineStr"/>
      <c r="J13" s="8" t="inlineStr"/>
      <c r="K13" s="6" t="inlineStr">
        <is>
          <t>Murotjon</t>
        </is>
      </c>
      <c r="L13" s="6" t="inlineStr">
        <is>
          <t>@Zapchast_2121</t>
        </is>
      </c>
      <c r="M13" s="6" t="inlineStr">
        <is>
          <t>Murotjon</t>
        </is>
      </c>
      <c r="N13" s="6" t="inlineStr">
        <is>
          <t>matn</t>
        </is>
      </c>
    </row>
    <row r="14">
      <c r="A14" s="5" t="inlineStr">
        <is>
          <t>2026-04-12</t>
        </is>
      </c>
      <c r="B14" s="5" t="inlineStr">
        <is>
          <t>16:33:44</t>
        </is>
      </c>
      <c r="C14" s="6" t="inlineStr"/>
      <c r="D14" s="6" t="inlineStr"/>
      <c r="E14" s="6" t="inlineStr"/>
      <c r="F14" s="6" t="inlineStr">
        <is>
          <t>UZS</t>
        </is>
      </c>
      <c r="G14" s="7" t="inlineStr"/>
      <c r="H14" s="8" t="inlineStr"/>
      <c r="I14" s="8" t="inlineStr"/>
      <c r="J14" s="8" t="inlineStr"/>
      <c r="K14" s="6" t="inlineStr">
        <is>
          <t>D:\TOTLI BI\external\telegram_sheets_bot\templates\mijoz_hisob_kitobi.xlsx</t>
        </is>
      </c>
      <c r="L14" s="6" t="inlineStr">
        <is>
          <t>@Zapchast_2121</t>
        </is>
      </c>
      <c r="M14" s="6" t="inlineStr">
        <is>
          <t>D:\TOTLI BI\external\telegram_sheets_bot\templates\mijoz_hisob_kitobi.xlsx</t>
        </is>
      </c>
      <c r="N14" s="6" t="inlineStr">
        <is>
          <t>matn</t>
        </is>
      </c>
    </row>
    <row r="15">
      <c r="A15" s="5" t="inlineStr">
        <is>
          <t>2026-04-12</t>
        </is>
      </c>
      <c r="B15" s="5" t="inlineStr">
        <is>
          <t>16:46:29</t>
        </is>
      </c>
      <c r="C15" s="6" t="inlineStr"/>
      <c r="D15" s="6" t="inlineStr"/>
      <c r="E15" s="6" t="inlineStr"/>
      <c r="F15" s="6" t="inlineStr">
        <is>
          <t>UZS</t>
        </is>
      </c>
      <c r="G15" s="7" t="inlineStr"/>
      <c r="H15" s="8" t="inlineStr"/>
      <c r="I15" s="8" t="inlineStr"/>
      <c r="J15" s="8" t="inlineStr"/>
      <c r="K15" s="6" t="inlineStr">
        <is>
          <t>Abdumalik A Balshivik</t>
        </is>
      </c>
      <c r="L15" s="6" t="inlineStr">
        <is>
          <t>@Zapchast_2121</t>
        </is>
      </c>
      <c r="M15" s="6" t="inlineStr">
        <is>
          <t>Abdumalik A Balshivik</t>
        </is>
      </c>
      <c r="N15" s="6" t="inlineStr">
        <is>
          <t>matn</t>
        </is>
      </c>
    </row>
    <row r="16">
      <c r="A16" s="5" t="inlineStr">
        <is>
          <t>2026-04-13</t>
        </is>
      </c>
      <c r="B16" s="5" t="inlineStr">
        <is>
          <t>11:35:24</t>
        </is>
      </c>
      <c r="C16" s="6" t="n">
        <v>2</v>
      </c>
      <c r="D16" s="6" t="inlineStr">
        <is>
          <t>Yuksalish</t>
        </is>
      </c>
      <c r="E16" s="6" t="inlineStr">
        <is>
          <t>chiqim</t>
        </is>
      </c>
      <c r="F16" s="6" t="inlineStr">
        <is>
          <t>UZS</t>
        </is>
      </c>
      <c r="G16" s="7" t="n">
        <v>7642000</v>
      </c>
      <c r="H16" s="8" t="n">
        <v>12200</v>
      </c>
      <c r="I16" s="8" t="n">
        <v>7642000</v>
      </c>
      <c r="J16" s="8" t="n">
        <v>626.3934426229508</v>
      </c>
      <c r="K16" s="6" t="inlineStr">
        <is>
          <t>Telegram orqali chiqim</t>
        </is>
      </c>
      <c r="L16" s="6" t="inlineStr">
        <is>
          <t>@Zapchast_2121</t>
        </is>
      </c>
      <c r="M16" s="6" t="inlineStr">
        <is>
          <t>chiqim UZS 7 642 000 Yuksalish</t>
        </is>
      </c>
      <c r="N16" s="6" t="inlineStr">
        <is>
          <t>matn</t>
        </is>
      </c>
    </row>
    <row r="17">
      <c r="A17" s="5" t="inlineStr">
        <is>
          <t>2026-04-13</t>
        </is>
      </c>
      <c r="B17" s="5" t="inlineStr">
        <is>
          <t>11:40:54</t>
        </is>
      </c>
      <c r="C17" s="6" t="n">
        <v>2</v>
      </c>
      <c r="D17" s="6" t="inlineStr">
        <is>
          <t>Yuksalish</t>
        </is>
      </c>
      <c r="E17" s="6" t="inlineStr">
        <is>
          <t>chiqim</t>
        </is>
      </c>
      <c r="F17" s="6" t="inlineStr">
        <is>
          <t>USD</t>
        </is>
      </c>
      <c r="G17" s="7" t="n">
        <v>842</v>
      </c>
      <c r="H17" s="8" t="n">
        <v>12200</v>
      </c>
      <c r="I17" s="8" t="n">
        <v>10272400</v>
      </c>
      <c r="J17" s="8" t="n">
        <v>842</v>
      </c>
      <c r="K17" s="6" t="inlineStr">
        <is>
          <t>Telegram orqali chiqim</t>
        </is>
      </c>
      <c r="L17" s="6" t="inlineStr">
        <is>
          <t>@Zapchast_2121</t>
        </is>
      </c>
      <c r="M17" s="6" t="inlineStr">
        <is>
          <t>chiqim USD 842 Yuksalish</t>
        </is>
      </c>
      <c r="N17" s="6" t="inlineStr">
        <is>
          <t>matn</t>
        </is>
      </c>
    </row>
    <row r="18">
      <c r="A18" s="5" t="inlineStr">
        <is>
          <t>2026-04-13</t>
        </is>
      </c>
      <c r="B18" s="5" t="inlineStr">
        <is>
          <t>13:21:52</t>
        </is>
      </c>
      <c r="C18" s="6" t="n">
        <v>4</v>
      </c>
      <c r="D18" s="6" t="inlineStr">
        <is>
          <t>Abdumalik Aka Eski</t>
        </is>
      </c>
      <c r="E18" s="6" t="inlineStr">
        <is>
          <t>chiqim</t>
        </is>
      </c>
      <c r="F18" s="6" t="inlineStr">
        <is>
          <t>UZS</t>
        </is>
      </c>
      <c r="G18" s="7" t="n">
        <v>11062000</v>
      </c>
      <c r="H18" s="8" t="n">
        <v>12160</v>
      </c>
      <c r="I18" s="8" t="n">
        <v>11062000</v>
      </c>
      <c r="J18" s="8" t="n">
        <v>909.703947368421</v>
      </c>
      <c r="K18" s="6" t="inlineStr">
        <is>
          <t>Telegram orqali chiqim</t>
        </is>
      </c>
      <c r="L18" s="6" t="inlineStr">
        <is>
          <t>@Zapchast_2121</t>
        </is>
      </c>
      <c r="M18" s="6" t="inlineStr">
        <is>
          <t>chiqim UZS 11 062 000 Abdumalik Aka Eski</t>
        </is>
      </c>
      <c r="N18" s="6" t="inlineStr">
        <is>
          <t>matn</t>
        </is>
      </c>
    </row>
    <row r="19">
      <c r="A19" s="5" t="inlineStr">
        <is>
          <t>2026-04-13</t>
        </is>
      </c>
      <c r="B19" s="5" t="inlineStr">
        <is>
          <t>13:22:14</t>
        </is>
      </c>
      <c r="C19" s="6" t="n">
        <v>4</v>
      </c>
      <c r="D19" s="6" t="inlineStr">
        <is>
          <t>Abdumalik Aka Eski</t>
        </is>
      </c>
      <c r="E19" s="6" t="inlineStr">
        <is>
          <t>chiqim</t>
        </is>
      </c>
      <c r="F19" s="6" t="inlineStr">
        <is>
          <t>USD</t>
        </is>
      </c>
      <c r="G19" s="7" t="n">
        <v>262.8</v>
      </c>
      <c r="H19" s="8" t="n">
        <v>12160</v>
      </c>
      <c r="I19" s="8" t="n">
        <v>3195648</v>
      </c>
      <c r="J19" s="8" t="n">
        <v>262.8</v>
      </c>
      <c r="K19" s="6" t="inlineStr">
        <is>
          <t>Telegram orqali chiqim</t>
        </is>
      </c>
      <c r="L19" s="6" t="inlineStr">
        <is>
          <t>@Zapchast_2121</t>
        </is>
      </c>
      <c r="M19" s="6" t="inlineStr">
        <is>
          <t>chiqim USD 262.8 Abdumalik Aka Eski</t>
        </is>
      </c>
      <c r="N19" s="6" t="inlineStr">
        <is>
          <t>matn</t>
        </is>
      </c>
    </row>
    <row r="20">
      <c r="A20" s="5" t="inlineStr">
        <is>
          <t>2026-04-13</t>
        </is>
      </c>
      <c r="B20" s="5" t="inlineStr">
        <is>
          <t>13:24:21</t>
        </is>
      </c>
      <c r="C20" s="6" t="n">
        <v>5</v>
      </c>
      <c r="D20" s="6" t="inlineStr">
        <is>
          <t>Dilshod Aka</t>
        </is>
      </c>
      <c r="E20" s="6" t="inlineStr">
        <is>
          <t>chiqim</t>
        </is>
      </c>
      <c r="F20" s="6" t="inlineStr">
        <is>
          <t>UZS</t>
        </is>
      </c>
      <c r="G20" s="7" t="n">
        <v>2650000</v>
      </c>
      <c r="H20" s="8" t="n">
        <v>12160</v>
      </c>
      <c r="I20" s="8" t="n">
        <v>2650000</v>
      </c>
      <c r="J20" s="8" t="n">
        <v>217.9276315789474</v>
      </c>
      <c r="K20" s="6" t="inlineStr">
        <is>
          <t>Telegram orqali chiqim</t>
        </is>
      </c>
      <c r="L20" s="6" t="inlineStr">
        <is>
          <t>@Zapchast_2121</t>
        </is>
      </c>
      <c r="M20" s="6" t="inlineStr">
        <is>
          <t>chiqim UZS 2 650 000 Dilshod Aka</t>
        </is>
      </c>
      <c r="N20" s="6" t="inlineStr">
        <is>
          <t>matn</t>
        </is>
      </c>
    </row>
    <row r="21">
      <c r="A21" s="5" t="inlineStr">
        <is>
          <t>2026-04-13</t>
        </is>
      </c>
      <c r="B21" s="5" t="inlineStr">
        <is>
          <t>13:24:55</t>
        </is>
      </c>
      <c r="C21" s="6" t="n">
        <v>5</v>
      </c>
      <c r="D21" s="6" t="inlineStr">
        <is>
          <t>Dilshod Aka</t>
        </is>
      </c>
      <c r="E21" s="6" t="inlineStr">
        <is>
          <t>chiqim</t>
        </is>
      </c>
      <c r="F21" s="6" t="inlineStr">
        <is>
          <t>USD</t>
        </is>
      </c>
      <c r="G21" s="7" t="n">
        <v>1268</v>
      </c>
      <c r="H21" s="8" t="n">
        <v>12160</v>
      </c>
      <c r="I21" s="8" t="n">
        <v>15418880</v>
      </c>
      <c r="J21" s="8" t="n">
        <v>1268</v>
      </c>
      <c r="K21" s="6" t="inlineStr">
        <is>
          <t>Telegram orqali chiqim</t>
        </is>
      </c>
      <c r="L21" s="6" t="inlineStr">
        <is>
          <t>@Zapchast_2121</t>
        </is>
      </c>
      <c r="M21" s="6" t="inlineStr">
        <is>
          <t>chiqim USD 1 268 Dilshod Aka</t>
        </is>
      </c>
      <c r="N21" s="6" t="inlineStr">
        <is>
          <t>matn</t>
        </is>
      </c>
    </row>
    <row r="22">
      <c r="A22" s="5" t="inlineStr">
        <is>
          <t>2026-04-13</t>
        </is>
      </c>
      <c r="B22" s="5" t="inlineStr">
        <is>
          <t>13:26:02</t>
        </is>
      </c>
      <c r="C22" s="6" t="n">
        <v>7</v>
      </c>
      <c r="D22" s="6" t="inlineStr">
        <is>
          <t>Feruz Apa</t>
        </is>
      </c>
      <c r="E22" s="6" t="inlineStr">
        <is>
          <t>chiqim</t>
        </is>
      </c>
      <c r="F22" s="6" t="inlineStr">
        <is>
          <t>UZS</t>
        </is>
      </c>
      <c r="G22" s="7" t="n">
        <v>5266000</v>
      </c>
      <c r="H22" s="8" t="n">
        <v>12160</v>
      </c>
      <c r="I22" s="8" t="n">
        <v>5266000</v>
      </c>
      <c r="J22" s="8" t="n">
        <v>433.0592105263158</v>
      </c>
      <c r="K22" s="6" t="inlineStr">
        <is>
          <t>Telegram orqali chiqim</t>
        </is>
      </c>
      <c r="L22" s="6" t="inlineStr">
        <is>
          <t>@Zapchast_2121</t>
        </is>
      </c>
      <c r="M22" s="6" t="inlineStr">
        <is>
          <t>chiqim UZS 5 266 000 Feruz Apa</t>
        </is>
      </c>
      <c r="N22" s="6" t="inlineStr">
        <is>
          <t>matn</t>
        </is>
      </c>
    </row>
    <row r="23">
      <c r="A23" s="5" t="inlineStr">
        <is>
          <t>2026-04-13</t>
        </is>
      </c>
      <c r="B23" s="5" t="inlineStr">
        <is>
          <t>13:26:16</t>
        </is>
      </c>
      <c r="C23" s="6" t="n">
        <v>7</v>
      </c>
      <c r="D23" s="6" t="inlineStr">
        <is>
          <t>Feruz Apa</t>
        </is>
      </c>
      <c r="E23" s="6" t="inlineStr">
        <is>
          <t>chiqim</t>
        </is>
      </c>
      <c r="F23" s="6" t="inlineStr">
        <is>
          <t>USD</t>
        </is>
      </c>
      <c r="G23" s="7" t="n">
        <v>36</v>
      </c>
      <c r="H23" s="8" t="n">
        <v>12160</v>
      </c>
      <c r="I23" s="8" t="n">
        <v>437760</v>
      </c>
      <c r="J23" s="8" t="n">
        <v>36</v>
      </c>
      <c r="K23" s="6" t="inlineStr">
        <is>
          <t>Telegram orqali chiqim</t>
        </is>
      </c>
      <c r="L23" s="6" t="inlineStr">
        <is>
          <t>@Zapchast_2121</t>
        </is>
      </c>
      <c r="M23" s="6" t="inlineStr">
        <is>
          <t>chiqim USD 36 Feruz Apa</t>
        </is>
      </c>
      <c r="N23" s="6" t="inlineStr">
        <is>
          <t>matn</t>
        </is>
      </c>
    </row>
    <row r="24">
      <c r="A24" s="5" t="inlineStr">
        <is>
          <t>2026-04-13</t>
        </is>
      </c>
      <c r="B24" s="5" t="inlineStr">
        <is>
          <t>13:27:03</t>
        </is>
      </c>
      <c r="C24" s="6" t="n">
        <v>8</v>
      </c>
      <c r="D24" s="6" t="inlineStr">
        <is>
          <t>Abdurahmon</t>
        </is>
      </c>
      <c r="E24" s="6" t="inlineStr">
        <is>
          <t>chiqim</t>
        </is>
      </c>
      <c r="F24" s="6" t="inlineStr">
        <is>
          <t>UZS</t>
        </is>
      </c>
      <c r="G24" s="7" t="n">
        <v>14661000</v>
      </c>
      <c r="H24" s="8" t="n">
        <v>12160</v>
      </c>
      <c r="I24" s="8" t="n">
        <v>14661000</v>
      </c>
      <c r="J24" s="8" t="n">
        <v>1205.674342105263</v>
      </c>
      <c r="K24" s="6" t="inlineStr">
        <is>
          <t>Telegram orqali chiqim</t>
        </is>
      </c>
      <c r="L24" s="6" t="inlineStr">
        <is>
          <t>@Zapchast_2121</t>
        </is>
      </c>
      <c r="M24" s="6" t="inlineStr">
        <is>
          <t>chiqim UZS 14 661 000 Abdurahmon</t>
        </is>
      </c>
      <c r="N24" s="6" t="inlineStr">
        <is>
          <t>matn</t>
        </is>
      </c>
    </row>
    <row r="25">
      <c r="A25" s="5" t="inlineStr">
        <is>
          <t>2026-04-13</t>
        </is>
      </c>
      <c r="B25" s="5" t="inlineStr">
        <is>
          <t>13:29:32</t>
        </is>
      </c>
      <c r="C25" s="6" t="n">
        <v>8</v>
      </c>
      <c r="D25" s="6" t="inlineStr">
        <is>
          <t>Abdurahmon</t>
        </is>
      </c>
      <c r="E25" s="6" t="inlineStr">
        <is>
          <t>chiqim</t>
        </is>
      </c>
      <c r="F25" s="6" t="inlineStr">
        <is>
          <t>USD</t>
        </is>
      </c>
      <c r="G25" s="7" t="n">
        <v>1600</v>
      </c>
      <c r="H25" s="8" t="n">
        <v>12160</v>
      </c>
      <c r="I25" s="8" t="n">
        <v>19456000</v>
      </c>
      <c r="J25" s="8" t="n">
        <v>1600</v>
      </c>
      <c r="K25" s="6" t="inlineStr">
        <is>
          <t>Telegram orqali chiqim</t>
        </is>
      </c>
      <c r="L25" s="6" t="inlineStr">
        <is>
          <t>@Zapchast_2121</t>
        </is>
      </c>
      <c r="M25" s="6" t="inlineStr">
        <is>
          <t>chiqim USD 1 600 Abdurahmon</t>
        </is>
      </c>
      <c r="N25" s="6" t="inlineStr">
        <is>
          <t>matn</t>
        </is>
      </c>
    </row>
    <row r="26">
      <c r="A26" s="5" t="inlineStr">
        <is>
          <t>2026-04-13</t>
        </is>
      </c>
      <c r="B26" s="5" t="inlineStr">
        <is>
          <t>13:30:39</t>
        </is>
      </c>
      <c r="C26" s="6" t="n">
        <v>10</v>
      </c>
      <c r="D26" s="6" t="inlineStr">
        <is>
          <t>Mutex</t>
        </is>
      </c>
      <c r="E26" s="6" t="inlineStr">
        <is>
          <t>chiqim</t>
        </is>
      </c>
      <c r="F26" s="6" t="inlineStr">
        <is>
          <t>UZS</t>
        </is>
      </c>
      <c r="G26" s="7" t="n">
        <v>10000000</v>
      </c>
      <c r="H26" s="8" t="n">
        <v>12160</v>
      </c>
      <c r="I26" s="8" t="n">
        <v>10000000</v>
      </c>
      <c r="J26" s="8" t="n">
        <v>822.3684210526316</v>
      </c>
      <c r="K26" s="6" t="inlineStr">
        <is>
          <t>Telegram orqali chiqim</t>
        </is>
      </c>
      <c r="L26" s="6" t="inlineStr">
        <is>
          <t>@Zapchast_2121</t>
        </is>
      </c>
      <c r="M26" s="6" t="inlineStr">
        <is>
          <t>chiqim UZS 10 000 000 Mutex</t>
        </is>
      </c>
      <c r="N26" s="6" t="inlineStr">
        <is>
          <t>matn</t>
        </is>
      </c>
    </row>
    <row r="27">
      <c r="A27" s="5" t="inlineStr">
        <is>
          <t>2026-04-13</t>
        </is>
      </c>
      <c r="B27" s="5" t="inlineStr">
        <is>
          <t>13:30:51</t>
        </is>
      </c>
      <c r="C27" s="6" t="n">
        <v>10</v>
      </c>
      <c r="D27" s="6" t="inlineStr">
        <is>
          <t>Mutex</t>
        </is>
      </c>
      <c r="E27" s="6" t="inlineStr">
        <is>
          <t>chiqim</t>
        </is>
      </c>
      <c r="F27" s="6" t="inlineStr">
        <is>
          <t>USD</t>
        </is>
      </c>
      <c r="G27" s="7" t="n">
        <v>3195</v>
      </c>
      <c r="H27" s="8" t="n">
        <v>12160</v>
      </c>
      <c r="I27" s="8" t="n">
        <v>38851200</v>
      </c>
      <c r="J27" s="8" t="n">
        <v>3195</v>
      </c>
      <c r="K27" s="6" t="inlineStr">
        <is>
          <t>Telegram orqali chiqim</t>
        </is>
      </c>
      <c r="L27" s="6" t="inlineStr">
        <is>
          <t>@Zapchast_2121</t>
        </is>
      </c>
      <c r="M27" s="6" t="inlineStr">
        <is>
          <t>chiqim USD 3 195 Mutex</t>
        </is>
      </c>
      <c r="N27" s="6" t="inlineStr">
        <is>
          <t>matn</t>
        </is>
      </c>
    </row>
    <row r="28">
      <c r="A28" s="5" t="inlineStr">
        <is>
          <t>2026-04-13</t>
        </is>
      </c>
      <c r="B28" s="5" t="inlineStr">
        <is>
          <t>13:31:26</t>
        </is>
      </c>
      <c r="C28" s="6" t="n">
        <v>11</v>
      </c>
      <c r="D28" s="6" t="inlineStr">
        <is>
          <t>Murotjon</t>
        </is>
      </c>
      <c r="E28" s="6" t="inlineStr">
        <is>
          <t>chiqim</t>
        </is>
      </c>
      <c r="F28" s="6" t="inlineStr">
        <is>
          <t>UZS</t>
        </is>
      </c>
      <c r="G28" s="7" t="n">
        <v>500000</v>
      </c>
      <c r="H28" s="8" t="n">
        <v>12160</v>
      </c>
      <c r="I28" s="8" t="n">
        <v>500000</v>
      </c>
      <c r="J28" s="8" t="n">
        <v>41.11842105263158</v>
      </c>
      <c r="K28" s="6" t="inlineStr">
        <is>
          <t>Telegram orqali chiqim</t>
        </is>
      </c>
      <c r="L28" s="6" t="inlineStr">
        <is>
          <t>@Zapchast_2121</t>
        </is>
      </c>
      <c r="M28" s="6" t="inlineStr">
        <is>
          <t>chiqim UZS 500 000 Murotjon</t>
        </is>
      </c>
      <c r="N28" s="6" t="inlineStr">
        <is>
          <t>matn</t>
        </is>
      </c>
    </row>
    <row r="29">
      <c r="A29" s="5" t="inlineStr">
        <is>
          <t>2026-04-13</t>
        </is>
      </c>
      <c r="B29" s="5" t="inlineStr">
        <is>
          <t>13:32:02</t>
        </is>
      </c>
      <c r="C29" s="6" t="n">
        <v>12</v>
      </c>
      <c r="D29" s="6" t="inlineStr">
        <is>
          <t>Islomxon Usta eski</t>
        </is>
      </c>
      <c r="E29" s="6" t="inlineStr">
        <is>
          <t>chiqim</t>
        </is>
      </c>
      <c r="F29" s="6" t="inlineStr">
        <is>
          <t>UZS</t>
        </is>
      </c>
      <c r="G29" s="7" t="n">
        <v>4570000</v>
      </c>
      <c r="H29" s="8" t="n">
        <v>12160</v>
      </c>
      <c r="I29" s="8" t="n">
        <v>4570000</v>
      </c>
      <c r="J29" s="8" t="n">
        <v>375.8223684210527</v>
      </c>
      <c r="K29" s="6" t="inlineStr">
        <is>
          <t>Telegram orqali chiqim</t>
        </is>
      </c>
      <c r="L29" s="6" t="inlineStr">
        <is>
          <t>@Zapchast_2121</t>
        </is>
      </c>
      <c r="M29" s="6" t="inlineStr">
        <is>
          <t>chiqim UZS 4 570 000 Islomxon Usta eski</t>
        </is>
      </c>
      <c r="N29" s="6" t="inlineStr">
        <is>
          <t>matn</t>
        </is>
      </c>
    </row>
    <row r="30">
      <c r="A30" s="5" t="inlineStr">
        <is>
          <t>2026-04-13</t>
        </is>
      </c>
      <c r="B30" s="5" t="inlineStr">
        <is>
          <t>13:32:11</t>
        </is>
      </c>
      <c r="C30" s="6" t="n">
        <v>12</v>
      </c>
      <c r="D30" s="6" t="inlineStr">
        <is>
          <t>Islomxon Usta eski</t>
        </is>
      </c>
      <c r="E30" s="6" t="inlineStr">
        <is>
          <t>chiqim</t>
        </is>
      </c>
      <c r="F30" s="6" t="inlineStr">
        <is>
          <t>USD</t>
        </is>
      </c>
      <c r="G30" s="7" t="n">
        <v>4</v>
      </c>
      <c r="H30" s="8" t="n">
        <v>12160</v>
      </c>
      <c r="I30" s="8" t="n">
        <v>48640</v>
      </c>
      <c r="J30" s="8" t="n">
        <v>4</v>
      </c>
      <c r="K30" s="6" t="inlineStr">
        <is>
          <t>Telegram orqali chiqim</t>
        </is>
      </c>
      <c r="L30" s="6" t="inlineStr">
        <is>
          <t>@Zapchast_2121</t>
        </is>
      </c>
      <c r="M30" s="6" t="inlineStr">
        <is>
          <t>chiqim USD 4 Islomxon Usta eski</t>
        </is>
      </c>
      <c r="N30" s="6" t="inlineStr">
        <is>
          <t>matn</t>
        </is>
      </c>
    </row>
    <row r="31">
      <c r="A31" s="5" t="inlineStr">
        <is>
          <t>2026-04-13</t>
        </is>
      </c>
      <c r="B31" s="5" t="inlineStr">
        <is>
          <t>13:37:38</t>
        </is>
      </c>
      <c r="C31" s="6" t="n">
        <v>16</v>
      </c>
      <c r="D31" s="6" t="inlineStr">
        <is>
          <t>Dildor Apa</t>
        </is>
      </c>
      <c r="E31" s="6" t="inlineStr">
        <is>
          <t>chiqim</t>
        </is>
      </c>
      <c r="F31" s="6" t="inlineStr">
        <is>
          <t>USD</t>
        </is>
      </c>
      <c r="G31" s="7" t="n">
        <v>37</v>
      </c>
      <c r="H31" s="8" t="n">
        <v>12160</v>
      </c>
      <c r="I31" s="8" t="n">
        <v>449920</v>
      </c>
      <c r="J31" s="8" t="n">
        <v>37</v>
      </c>
      <c r="K31" s="6" t="inlineStr">
        <is>
          <t>Telegram orqali chiqim</t>
        </is>
      </c>
      <c r="L31" s="6" t="inlineStr">
        <is>
          <t>@Zapchast_2121</t>
        </is>
      </c>
      <c r="M31" s="6" t="inlineStr">
        <is>
          <t>chiqim USD 37 Dildor Apa</t>
        </is>
      </c>
      <c r="N31" s="6" t="inlineStr">
        <is>
          <t>matn</t>
        </is>
      </c>
    </row>
    <row r="32">
      <c r="A32" s="5" t="inlineStr">
        <is>
          <t>2026-04-13</t>
        </is>
      </c>
      <c r="B32" s="5" t="inlineStr">
        <is>
          <t>13:38:13</t>
        </is>
      </c>
      <c r="C32" s="6" t="n">
        <v>17</v>
      </c>
      <c r="D32" s="6" t="inlineStr">
        <is>
          <t>Rovshan Aka Uzb</t>
        </is>
      </c>
      <c r="E32" s="6" t="inlineStr">
        <is>
          <t>chiqim</t>
        </is>
      </c>
      <c r="F32" s="6" t="inlineStr">
        <is>
          <t>UZS</t>
        </is>
      </c>
      <c r="G32" s="7" t="n">
        <v>22604000</v>
      </c>
      <c r="H32" s="8" t="n">
        <v>12160</v>
      </c>
      <c r="I32" s="8" t="n">
        <v>22604000</v>
      </c>
      <c r="J32" s="8" t="n">
        <v>1858.881578947368</v>
      </c>
      <c r="K32" s="6" t="inlineStr">
        <is>
          <t>Telegram orqali chiqim</t>
        </is>
      </c>
      <c r="L32" s="6" t="inlineStr">
        <is>
          <t>@Zapchast_2121</t>
        </is>
      </c>
      <c r="M32" s="6" t="inlineStr">
        <is>
          <t>chiqim UZS 22 604 000 Rovshan Aka Uzb</t>
        </is>
      </c>
      <c r="N32" s="6" t="inlineStr">
        <is>
          <t>matn</t>
        </is>
      </c>
    </row>
    <row r="33">
      <c r="A33" s="5" t="inlineStr">
        <is>
          <t>2026-04-13</t>
        </is>
      </c>
      <c r="B33" s="5" t="inlineStr">
        <is>
          <t>13:38:25</t>
        </is>
      </c>
      <c r="C33" s="6" t="n">
        <v>17</v>
      </c>
      <c r="D33" s="6" t="inlineStr">
        <is>
          <t>Rovshan Aka Uzb</t>
        </is>
      </c>
      <c r="E33" s="6" t="inlineStr">
        <is>
          <t>chiqim</t>
        </is>
      </c>
      <c r="F33" s="6" t="inlineStr">
        <is>
          <t>USD</t>
        </is>
      </c>
      <c r="G33" s="7" t="n">
        <v>2436</v>
      </c>
      <c r="H33" s="8" t="n">
        <v>12160</v>
      </c>
      <c r="I33" s="8" t="n">
        <v>29621760</v>
      </c>
      <c r="J33" s="8" t="n">
        <v>2436</v>
      </c>
      <c r="K33" s="6" t="inlineStr">
        <is>
          <t>Telegram orqali chiqim</t>
        </is>
      </c>
      <c r="L33" s="6" t="inlineStr">
        <is>
          <t>@Zapchast_2121</t>
        </is>
      </c>
      <c r="M33" s="6" t="inlineStr">
        <is>
          <t>chiqim USD 2 436 Rovshan Aka Uzb</t>
        </is>
      </c>
      <c r="N33" s="6" t="inlineStr">
        <is>
          <t>matn</t>
        </is>
      </c>
    </row>
    <row r="34">
      <c r="A34" s="5" t="inlineStr">
        <is>
          <t>2026-04-13</t>
        </is>
      </c>
      <c r="B34" s="5" t="inlineStr">
        <is>
          <t>13:39:50</t>
        </is>
      </c>
      <c r="C34" s="6" t="n">
        <v>18</v>
      </c>
      <c r="D34" s="6" t="inlineStr">
        <is>
          <t>Abdumo'min Aka</t>
        </is>
      </c>
      <c r="E34" s="6" t="inlineStr">
        <is>
          <t>chiqim</t>
        </is>
      </c>
      <c r="F34" s="6" t="inlineStr">
        <is>
          <t>UZS</t>
        </is>
      </c>
      <c r="G34" s="7" t="n">
        <v>17583000</v>
      </c>
      <c r="H34" s="8" t="n">
        <v>12160</v>
      </c>
      <c r="I34" s="8" t="n">
        <v>17583000</v>
      </c>
      <c r="J34" s="8" t="n">
        <v>1445.970394736842</v>
      </c>
      <c r="K34" s="6" t="inlineStr">
        <is>
          <t>Telegram orqali chiqim</t>
        </is>
      </c>
      <c r="L34" s="6" t="inlineStr">
        <is>
          <t>@Zapchast_2121</t>
        </is>
      </c>
      <c r="M34" s="6" t="inlineStr">
        <is>
          <t>chiqim UZS 17 583 000 Abdumo'min Aka</t>
        </is>
      </c>
      <c r="N34" s="6" t="inlineStr">
        <is>
          <t>matn</t>
        </is>
      </c>
    </row>
    <row r="35">
      <c r="A35" s="5" t="inlineStr">
        <is>
          <t>2026-04-13</t>
        </is>
      </c>
      <c r="B35" s="5" t="inlineStr">
        <is>
          <t>13:40:09</t>
        </is>
      </c>
      <c r="C35" s="6" t="n">
        <v>18</v>
      </c>
      <c r="D35" s="6" t="inlineStr">
        <is>
          <t>Abdumo'min Aka</t>
        </is>
      </c>
      <c r="E35" s="6" t="inlineStr">
        <is>
          <t>chiqim</t>
        </is>
      </c>
      <c r="F35" s="6" t="inlineStr">
        <is>
          <t>USD</t>
        </is>
      </c>
      <c r="G35" s="7" t="n">
        <v>1037.8</v>
      </c>
      <c r="H35" s="8" t="n">
        <v>12160</v>
      </c>
      <c r="I35" s="8" t="n">
        <v>12619648</v>
      </c>
      <c r="J35" s="8" t="n">
        <v>1037.8</v>
      </c>
      <c r="K35" s="6" t="inlineStr">
        <is>
          <t>Telegram orqali chiqim</t>
        </is>
      </c>
      <c r="L35" s="6" t="inlineStr">
        <is>
          <t>@Zapchast_2121</t>
        </is>
      </c>
      <c r="M35" s="6" t="inlineStr">
        <is>
          <t>chiqim USD 1 037.8 Abdumo'min Aka</t>
        </is>
      </c>
      <c r="N35" s="6" t="inlineStr">
        <is>
          <t>matn</t>
        </is>
      </c>
    </row>
    <row r="36">
      <c r="A36" s="5" t="inlineStr">
        <is>
          <t>2026-04-13</t>
        </is>
      </c>
      <c r="B36" s="5" t="inlineStr">
        <is>
          <t>13:40:52</t>
        </is>
      </c>
      <c r="C36" s="6" t="n">
        <v>19</v>
      </c>
      <c r="D36" s="6" t="inlineStr">
        <is>
          <t>Ilxom Aka 0083</t>
        </is>
      </c>
      <c r="E36" s="6" t="inlineStr">
        <is>
          <t>chiqim</t>
        </is>
      </c>
      <c r="F36" s="6" t="inlineStr">
        <is>
          <t>UZS</t>
        </is>
      </c>
      <c r="G36" s="7" t="n">
        <v>9898000</v>
      </c>
      <c r="H36" s="8" t="n">
        <v>12160</v>
      </c>
      <c r="I36" s="8" t="n">
        <v>9898000</v>
      </c>
      <c r="J36" s="8" t="n">
        <v>813.9802631578947</v>
      </c>
      <c r="K36" s="6" t="inlineStr">
        <is>
          <t>Telegram orqali chiqim</t>
        </is>
      </c>
      <c r="L36" s="6" t="inlineStr">
        <is>
          <t>@Zapchast_2121</t>
        </is>
      </c>
      <c r="M36" s="6" t="inlineStr">
        <is>
          <t>chiqim UZS 9 898 000 Ilxom Aka 0083</t>
        </is>
      </c>
      <c r="N36" s="6" t="inlineStr">
        <is>
          <t>matn</t>
        </is>
      </c>
    </row>
    <row r="37">
      <c r="A37" s="5" t="inlineStr">
        <is>
          <t>2026-04-13</t>
        </is>
      </c>
      <c r="B37" s="5" t="inlineStr">
        <is>
          <t>13:41:02</t>
        </is>
      </c>
      <c r="C37" s="6" t="n">
        <v>19</v>
      </c>
      <c r="D37" s="6" t="inlineStr">
        <is>
          <t>Ilxom Aka 0083</t>
        </is>
      </c>
      <c r="E37" s="6" t="inlineStr">
        <is>
          <t>chiqim</t>
        </is>
      </c>
      <c r="F37" s="6" t="inlineStr">
        <is>
          <t>USD</t>
        </is>
      </c>
      <c r="G37" s="7" t="n">
        <v>445</v>
      </c>
      <c r="H37" s="8" t="n">
        <v>12160</v>
      </c>
      <c r="I37" s="8" t="n">
        <v>5411200</v>
      </c>
      <c r="J37" s="8" t="n">
        <v>445</v>
      </c>
      <c r="K37" s="6" t="inlineStr">
        <is>
          <t>Telegram orqali chiqim</t>
        </is>
      </c>
      <c r="L37" s="6" t="inlineStr">
        <is>
          <t>@Zapchast_2121</t>
        </is>
      </c>
      <c r="M37" s="6" t="inlineStr">
        <is>
          <t>chiqim USD 445 Ilxom Aka 0083</t>
        </is>
      </c>
      <c r="N37" s="6" t="inlineStr">
        <is>
          <t>matn</t>
        </is>
      </c>
    </row>
    <row r="38">
      <c r="A38" s="5" t="inlineStr">
        <is>
          <t>2026-04-13</t>
        </is>
      </c>
      <c r="B38" s="5" t="inlineStr">
        <is>
          <t>13:41:40</t>
        </is>
      </c>
      <c r="C38" s="6" t="n">
        <v>20</v>
      </c>
      <c r="D38" s="6" t="inlineStr">
        <is>
          <t>Abdurahmon Aka</t>
        </is>
      </c>
      <c r="E38" s="6" t="inlineStr">
        <is>
          <t>chiqim</t>
        </is>
      </c>
      <c r="F38" s="6" t="inlineStr">
        <is>
          <t>UZS</t>
        </is>
      </c>
      <c r="G38" s="7" t="n">
        <v>3447000</v>
      </c>
      <c r="H38" s="8" t="n">
        <v>12160</v>
      </c>
      <c r="I38" s="8" t="n">
        <v>3447000</v>
      </c>
      <c r="J38" s="8" t="n">
        <v>283.4703947368421</v>
      </c>
      <c r="K38" s="6" t="inlineStr">
        <is>
          <t>Telegram orqali chiqim</t>
        </is>
      </c>
      <c r="L38" s="6" t="inlineStr">
        <is>
          <t>@Zapchast_2121</t>
        </is>
      </c>
      <c r="M38" s="6" t="inlineStr">
        <is>
          <t>chiqim UZS 3 447 000 Abdurahmon Aka</t>
        </is>
      </c>
      <c r="N38" s="6" t="inlineStr">
        <is>
          <t>matn</t>
        </is>
      </c>
    </row>
    <row r="39">
      <c r="A39" s="5" t="inlineStr">
        <is>
          <t>2026-04-13</t>
        </is>
      </c>
      <c r="B39" s="5" t="inlineStr">
        <is>
          <t>13:41:50</t>
        </is>
      </c>
      <c r="C39" s="6" t="n">
        <v>20</v>
      </c>
      <c r="D39" s="6" t="inlineStr">
        <is>
          <t>Abdurahmon Aka</t>
        </is>
      </c>
      <c r="E39" s="6" t="inlineStr">
        <is>
          <t>chiqim</t>
        </is>
      </c>
      <c r="F39" s="6" t="inlineStr">
        <is>
          <t>USD</t>
        </is>
      </c>
      <c r="G39" s="7" t="n">
        <v>49</v>
      </c>
      <c r="H39" s="8" t="n">
        <v>12160</v>
      </c>
      <c r="I39" s="8" t="n">
        <v>595840</v>
      </c>
      <c r="J39" s="8" t="n">
        <v>49</v>
      </c>
      <c r="K39" s="6" t="inlineStr">
        <is>
          <t>Telegram orqali chiqim</t>
        </is>
      </c>
      <c r="L39" s="6" t="inlineStr">
        <is>
          <t>@Zapchast_2121</t>
        </is>
      </c>
      <c r="M39" s="6" t="inlineStr">
        <is>
          <t>chiqim USD 49 Abdurahmon Aka</t>
        </is>
      </c>
      <c r="N39" s="6" t="inlineStr">
        <is>
          <t>matn</t>
        </is>
      </c>
    </row>
    <row r="40">
      <c r="A40" s="5" t="inlineStr">
        <is>
          <t>2026-04-13</t>
        </is>
      </c>
      <c r="B40" s="5" t="inlineStr">
        <is>
          <t>13:42:17</t>
        </is>
      </c>
      <c r="C40" s="6" t="n">
        <v>21</v>
      </c>
      <c r="D40" s="6" t="inlineStr">
        <is>
          <t>Husniddin Aka</t>
        </is>
      </c>
      <c r="E40" s="6" t="inlineStr">
        <is>
          <t>chiqim</t>
        </is>
      </c>
      <c r="F40" s="6" t="inlineStr">
        <is>
          <t>USD</t>
        </is>
      </c>
      <c r="G40" s="7" t="n">
        <v>28</v>
      </c>
      <c r="H40" s="8" t="n">
        <v>12160</v>
      </c>
      <c r="I40" s="8" t="n">
        <v>340480</v>
      </c>
      <c r="J40" s="8" t="n">
        <v>28</v>
      </c>
      <c r="K40" s="6" t="inlineStr">
        <is>
          <t>Telegram orqali chiqim</t>
        </is>
      </c>
      <c r="L40" s="6" t="inlineStr">
        <is>
          <t>@Zapchast_2121</t>
        </is>
      </c>
      <c r="M40" s="6" t="inlineStr">
        <is>
          <t>chiqim USD 28 Husniddin Aka</t>
        </is>
      </c>
      <c r="N40" s="6" t="inlineStr">
        <is>
          <t>matn</t>
        </is>
      </c>
    </row>
    <row r="41">
      <c r="A41" s="5" t="inlineStr">
        <is>
          <t>2026-04-13</t>
        </is>
      </c>
      <c r="B41" s="5" t="inlineStr">
        <is>
          <t>13:42:35</t>
        </is>
      </c>
      <c r="C41" s="6" t="n">
        <v>21</v>
      </c>
      <c r="D41" s="6" t="inlineStr">
        <is>
          <t>Husniddin Aka</t>
        </is>
      </c>
      <c r="E41" s="6" t="inlineStr">
        <is>
          <t>chiqim</t>
        </is>
      </c>
      <c r="F41" s="6" t="inlineStr">
        <is>
          <t>UZS</t>
        </is>
      </c>
      <c r="G41" s="7" t="n">
        <v>697000</v>
      </c>
      <c r="H41" s="8" t="n">
        <v>12160</v>
      </c>
      <c r="I41" s="8" t="n">
        <v>697000</v>
      </c>
      <c r="J41" s="8" t="n">
        <v>57.31907894736842</v>
      </c>
      <c r="K41" s="6" t="inlineStr">
        <is>
          <t>Telegram orqali chiqim</t>
        </is>
      </c>
      <c r="L41" s="6" t="inlineStr">
        <is>
          <t>@Zapchast_2121</t>
        </is>
      </c>
      <c r="M41" s="6" t="inlineStr">
        <is>
          <t>chiqim UZS 697 000 Husniddin Aka</t>
        </is>
      </c>
      <c r="N41" s="6" t="inlineStr">
        <is>
          <t>matn</t>
        </is>
      </c>
    </row>
    <row r="42">
      <c r="A42" s="5" t="inlineStr">
        <is>
          <t>2026-04-13</t>
        </is>
      </c>
      <c r="B42" s="5" t="inlineStr">
        <is>
          <t>13:43:55</t>
        </is>
      </c>
      <c r="C42" s="6" t="n">
        <v>22</v>
      </c>
      <c r="D42" s="6" t="inlineStr">
        <is>
          <t>Abdumalik A Bal</t>
        </is>
      </c>
      <c r="E42" s="6" t="inlineStr">
        <is>
          <t>chiqim</t>
        </is>
      </c>
      <c r="F42" s="6" t="inlineStr">
        <is>
          <t>UZS</t>
        </is>
      </c>
      <c r="G42" s="7" t="n">
        <v>4256000</v>
      </c>
      <c r="H42" s="8" t="n">
        <v>12160</v>
      </c>
      <c r="I42" s="8" t="n">
        <v>4256000</v>
      </c>
      <c r="J42" s="8" t="n">
        <v>350</v>
      </c>
      <c r="K42" s="6" t="inlineStr">
        <is>
          <t>Telegram orqali chiqim</t>
        </is>
      </c>
      <c r="L42" s="6" t="inlineStr">
        <is>
          <t>@Zapchast_2121</t>
        </is>
      </c>
      <c r="M42" s="6" t="inlineStr">
        <is>
          <t>chiqim UZS 4 256 000 Abdumalik A Bal</t>
        </is>
      </c>
      <c r="N42" s="6" t="inlineStr">
        <is>
          <t>matn</t>
        </is>
      </c>
    </row>
    <row r="43">
      <c r="A43" s="5" t="inlineStr">
        <is>
          <t>2026-04-13</t>
        </is>
      </c>
      <c r="B43" s="5" t="inlineStr">
        <is>
          <t>13:44:07</t>
        </is>
      </c>
      <c r="C43" s="6" t="n">
        <v>22</v>
      </c>
      <c r="D43" s="6" t="inlineStr">
        <is>
          <t>Abdumalik A Bal</t>
        </is>
      </c>
      <c r="E43" s="6" t="inlineStr">
        <is>
          <t>chiqim</t>
        </is>
      </c>
      <c r="F43" s="6" t="inlineStr">
        <is>
          <t>USD</t>
        </is>
      </c>
      <c r="G43" s="7" t="n">
        <v>58</v>
      </c>
      <c r="H43" s="8" t="n">
        <v>12160</v>
      </c>
      <c r="I43" s="8" t="n">
        <v>705280</v>
      </c>
      <c r="J43" s="8" t="n">
        <v>58</v>
      </c>
      <c r="K43" s="6" t="inlineStr">
        <is>
          <t>Telegram orqali chiqim</t>
        </is>
      </c>
      <c r="L43" s="6" t="inlineStr">
        <is>
          <t>@Zapchast_2121</t>
        </is>
      </c>
      <c r="M43" s="6" t="inlineStr">
        <is>
          <t>chiqim USD 58 Abdumalik A Bal</t>
        </is>
      </c>
      <c r="N43" s="6" t="inlineStr">
        <is>
          <t>matn</t>
        </is>
      </c>
    </row>
    <row r="44">
      <c r="A44" s="5" t="inlineStr">
        <is>
          <t>2026-04-13</t>
        </is>
      </c>
      <c r="B44" s="5" t="inlineStr">
        <is>
          <t>13:45:04</t>
        </is>
      </c>
      <c r="C44" s="6" t="n">
        <v>23</v>
      </c>
      <c r="D44" s="6" t="inlineStr">
        <is>
          <t>Abdumalik A 2323</t>
        </is>
      </c>
      <c r="E44" s="6" t="inlineStr">
        <is>
          <t>chiqim</t>
        </is>
      </c>
      <c r="F44" s="6" t="inlineStr">
        <is>
          <t>UZS</t>
        </is>
      </c>
      <c r="G44" s="7" t="n">
        <v>3991000</v>
      </c>
      <c r="H44" s="8" t="n">
        <v>12160</v>
      </c>
      <c r="I44" s="8" t="n">
        <v>3991000</v>
      </c>
      <c r="J44" s="8" t="n">
        <v>328.2072368421053</v>
      </c>
      <c r="K44" s="6" t="inlineStr">
        <is>
          <t>Telegram orqali chiqim</t>
        </is>
      </c>
      <c r="L44" s="6" t="inlineStr">
        <is>
          <t>@Zapchast_2121</t>
        </is>
      </c>
      <c r="M44" s="6" t="inlineStr">
        <is>
          <t>chiqim UZS 3 991 000 Abdumalik A 2323</t>
        </is>
      </c>
      <c r="N44" s="6" t="inlineStr">
        <is>
          <t>matn</t>
        </is>
      </c>
    </row>
    <row r="45">
      <c r="A45" s="5" t="inlineStr">
        <is>
          <t>2026-04-13</t>
        </is>
      </c>
      <c r="B45" s="5" t="inlineStr">
        <is>
          <t>13:45:15</t>
        </is>
      </c>
      <c r="C45" s="6" t="n">
        <v>23</v>
      </c>
      <c r="D45" s="6" t="inlineStr">
        <is>
          <t>Abdumalik A 2323</t>
        </is>
      </c>
      <c r="E45" s="6" t="inlineStr">
        <is>
          <t>chiqim</t>
        </is>
      </c>
      <c r="F45" s="6" t="inlineStr">
        <is>
          <t>USD</t>
        </is>
      </c>
      <c r="G45" s="7" t="n">
        <v>155.5</v>
      </c>
      <c r="H45" s="8" t="n">
        <v>12160</v>
      </c>
      <c r="I45" s="8" t="n">
        <v>1890880</v>
      </c>
      <c r="J45" s="8" t="n">
        <v>155.5</v>
      </c>
      <c r="K45" s="6" t="inlineStr">
        <is>
          <t>Telegram orqali chiqim</t>
        </is>
      </c>
      <c r="L45" s="6" t="inlineStr">
        <is>
          <t>@Zapchast_2121</t>
        </is>
      </c>
      <c r="M45" s="6" t="inlineStr">
        <is>
          <t>chiqim USD 155.5 Abdumalik A 2323</t>
        </is>
      </c>
      <c r="N45" s="6" t="inlineStr">
        <is>
          <t>matn</t>
        </is>
      </c>
    </row>
    <row r="46">
      <c r="A46" s="5" t="inlineStr">
        <is>
          <t>2026-04-13</t>
        </is>
      </c>
      <c r="B46" s="5" t="inlineStr">
        <is>
          <t>13:45:44</t>
        </is>
      </c>
      <c r="C46" s="6" t="n">
        <v>24</v>
      </c>
      <c r="D46" s="6" t="inlineStr">
        <is>
          <t>MuhammadAli Bulut</t>
        </is>
      </c>
      <c r="E46" s="6" t="inlineStr">
        <is>
          <t>chiqim</t>
        </is>
      </c>
      <c r="F46" s="6" t="inlineStr">
        <is>
          <t>USD</t>
        </is>
      </c>
      <c r="G46" s="7" t="n">
        <v>75</v>
      </c>
      <c r="H46" s="8" t="n">
        <v>12160</v>
      </c>
      <c r="I46" s="8" t="n">
        <v>912000</v>
      </c>
      <c r="J46" s="8" t="n">
        <v>75</v>
      </c>
      <c r="K46" s="6" t="inlineStr">
        <is>
          <t>Telegram orqali chiqim</t>
        </is>
      </c>
      <c r="L46" s="6" t="inlineStr">
        <is>
          <t>@Zapchast_2121</t>
        </is>
      </c>
      <c r="M46" s="6" t="inlineStr">
        <is>
          <t>chiqim USD 75 MuhammadAli Bulut</t>
        </is>
      </c>
      <c r="N46" s="6" t="inlineStr">
        <is>
          <t>matn</t>
        </is>
      </c>
    </row>
    <row r="47">
      <c r="A47" s="5" t="inlineStr">
        <is>
          <t>2026-04-13</t>
        </is>
      </c>
      <c r="B47" s="5" t="inlineStr">
        <is>
          <t>13:45:57</t>
        </is>
      </c>
      <c r="C47" s="6" t="n">
        <v>24</v>
      </c>
      <c r="D47" s="6" t="inlineStr">
        <is>
          <t>MuhammadAli Bulut</t>
        </is>
      </c>
      <c r="E47" s="6" t="inlineStr">
        <is>
          <t>chiqim</t>
        </is>
      </c>
      <c r="F47" s="6" t="inlineStr">
        <is>
          <t>UZS</t>
        </is>
      </c>
      <c r="G47" s="7" t="n">
        <v>1951000</v>
      </c>
      <c r="H47" s="8" t="n">
        <v>12160</v>
      </c>
      <c r="I47" s="8" t="n">
        <v>1951000</v>
      </c>
      <c r="J47" s="8" t="n">
        <v>160.4440789473684</v>
      </c>
      <c r="K47" s="6" t="inlineStr">
        <is>
          <t>Telegram orqali chiqim</t>
        </is>
      </c>
      <c r="L47" s="6" t="inlineStr">
        <is>
          <t>@Zapchast_2121</t>
        </is>
      </c>
      <c r="M47" s="6" t="inlineStr">
        <is>
          <t>chiqim UZS 1 951 000 MuhammadAli Bulut</t>
        </is>
      </c>
      <c r="N47" s="6" t="inlineStr">
        <is>
          <t>matn</t>
        </is>
      </c>
    </row>
    <row r="48">
      <c r="A48" s="5" t="inlineStr">
        <is>
          <t>2026-04-13</t>
        </is>
      </c>
      <c r="B48" s="5" t="inlineStr">
        <is>
          <t>13:46:35</t>
        </is>
      </c>
      <c r="C48" s="6" t="n">
        <v>25</v>
      </c>
      <c r="D48" s="6" t="inlineStr">
        <is>
          <t>Umar Aka</t>
        </is>
      </c>
      <c r="E48" s="6" t="inlineStr">
        <is>
          <t>chiqim</t>
        </is>
      </c>
      <c r="F48" s="6" t="inlineStr">
        <is>
          <t>UZS</t>
        </is>
      </c>
      <c r="G48" s="7" t="n">
        <v>9612000</v>
      </c>
      <c r="H48" s="8" t="n">
        <v>12160</v>
      </c>
      <c r="I48" s="8" t="n">
        <v>9612000</v>
      </c>
      <c r="J48" s="8" t="n">
        <v>790.4605263157895</v>
      </c>
      <c r="K48" s="6" t="inlineStr">
        <is>
          <t>Telegram orqali chiqim</t>
        </is>
      </c>
      <c r="L48" s="6" t="inlineStr">
        <is>
          <t>@Zapchast_2121</t>
        </is>
      </c>
      <c r="M48" s="6" t="inlineStr">
        <is>
          <t>chiqim UZS 9 612 000 Umar Aka</t>
        </is>
      </c>
      <c r="N48" s="6" t="inlineStr">
        <is>
          <t>matn</t>
        </is>
      </c>
    </row>
    <row r="49">
      <c r="A49" s="5" t="inlineStr">
        <is>
          <t>2026-04-13</t>
        </is>
      </c>
      <c r="B49" s="5" t="inlineStr">
        <is>
          <t>13:46:50</t>
        </is>
      </c>
      <c r="C49" s="6" t="n">
        <v>25</v>
      </c>
      <c r="D49" s="6" t="inlineStr">
        <is>
          <t>Umar Aka</t>
        </is>
      </c>
      <c r="E49" s="6" t="inlineStr">
        <is>
          <t>chiqim</t>
        </is>
      </c>
      <c r="F49" s="6" t="inlineStr">
        <is>
          <t>USD</t>
        </is>
      </c>
      <c r="G49" s="7" t="n">
        <v>7111</v>
      </c>
      <c r="H49" s="8" t="n">
        <v>12160</v>
      </c>
      <c r="I49" s="8" t="n">
        <v>86469760</v>
      </c>
      <c r="J49" s="8" t="n">
        <v>7111</v>
      </c>
      <c r="K49" s="6" t="inlineStr">
        <is>
          <t>Telegram orqali chiqim</t>
        </is>
      </c>
      <c r="L49" s="6" t="inlineStr">
        <is>
          <t>@Zapchast_2121</t>
        </is>
      </c>
      <c r="M49" s="6" t="inlineStr">
        <is>
          <t>chiqim USD 7 111 Umar Aka</t>
        </is>
      </c>
      <c r="N49" s="6" t="inlineStr">
        <is>
          <t>matn</t>
        </is>
      </c>
    </row>
    <row r="50">
      <c r="A50" s="5" t="inlineStr">
        <is>
          <t>2026-04-13</t>
        </is>
      </c>
      <c r="B50" s="5" t="inlineStr">
        <is>
          <t>13:51:54</t>
        </is>
      </c>
      <c r="C50" s="6" t="n">
        <v>25</v>
      </c>
      <c r="D50" s="6" t="inlineStr">
        <is>
          <t>Umar Aka</t>
        </is>
      </c>
      <c r="E50" s="6" t="inlineStr">
        <is>
          <t>chiqim</t>
        </is>
      </c>
      <c r="F50" s="6" t="inlineStr">
        <is>
          <t>USD</t>
        </is>
      </c>
      <c r="G50" s="7" t="n">
        <v>1300</v>
      </c>
      <c r="H50" s="8" t="n">
        <v>12160</v>
      </c>
      <c r="I50" s="8" t="n">
        <v>15808000</v>
      </c>
      <c r="J50" s="8" t="n">
        <v>1300</v>
      </c>
      <c r="K50" s="6" t="inlineStr">
        <is>
          <t>Telegram orqali chiqim</t>
        </is>
      </c>
      <c r="L50" s="6" t="inlineStr">
        <is>
          <t>@Zapchast_2121</t>
        </is>
      </c>
      <c r="M50" s="6" t="inlineStr">
        <is>
          <t>chiqim USD 1 300 Umar Aka</t>
        </is>
      </c>
      <c r="N50" s="6" t="inlineStr">
        <is>
          <t>matn</t>
        </is>
      </c>
    </row>
    <row r="51">
      <c r="A51" s="5" t="inlineStr">
        <is>
          <t>2026-04-13</t>
        </is>
      </c>
      <c r="B51" s="5" t="inlineStr">
        <is>
          <t>13:52:50</t>
        </is>
      </c>
      <c r="C51" s="6" t="n">
        <v>23</v>
      </c>
      <c r="D51" s="6" t="inlineStr">
        <is>
          <t>Abdumalik A 2323</t>
        </is>
      </c>
      <c r="E51" s="6" t="inlineStr">
        <is>
          <t>chiqim</t>
        </is>
      </c>
      <c r="F51" s="6" t="inlineStr">
        <is>
          <t>UZS</t>
        </is>
      </c>
      <c r="G51" s="7" t="n">
        <v>245000</v>
      </c>
      <c r="H51" s="8" t="n">
        <v>12160</v>
      </c>
      <c r="I51" s="8" t="n">
        <v>245000</v>
      </c>
      <c r="J51" s="8" t="n">
        <v>20.14802631578947</v>
      </c>
      <c r="K51" s="6" t="inlineStr">
        <is>
          <t>Telegram orqali chiqim</t>
        </is>
      </c>
      <c r="L51" s="6" t="inlineStr">
        <is>
          <t>@Zapchast_2121</t>
        </is>
      </c>
      <c r="M51" s="6" t="inlineStr">
        <is>
          <t>chiqim UZS 245 000 Abdumalik A 2323</t>
        </is>
      </c>
      <c r="N51" s="6" t="inlineStr">
        <is>
          <t>matn</t>
        </is>
      </c>
    </row>
    <row r="52">
      <c r="A52" s="5" t="inlineStr">
        <is>
          <t>2026-04-13</t>
        </is>
      </c>
      <c r="B52" s="5" t="inlineStr">
        <is>
          <t>13:55:25</t>
        </is>
      </c>
      <c r="C52" s="6" t="n">
        <v>7</v>
      </c>
      <c r="D52" s="6" t="inlineStr">
        <is>
          <t>Feruz Apa</t>
        </is>
      </c>
      <c r="E52" s="6" t="inlineStr">
        <is>
          <t>chiqim</t>
        </is>
      </c>
      <c r="F52" s="6" t="inlineStr">
        <is>
          <t>UZS</t>
        </is>
      </c>
      <c r="G52" s="7" t="n">
        <v>430000</v>
      </c>
      <c r="H52" s="8" t="n">
        <v>12160</v>
      </c>
      <c r="I52" s="8" t="n">
        <v>430000</v>
      </c>
      <c r="J52" s="8" t="n">
        <v>35.36184210526316</v>
      </c>
      <c r="K52" s="6" t="inlineStr">
        <is>
          <t>Telegram orqali chiqim</t>
        </is>
      </c>
      <c r="L52" s="6" t="inlineStr">
        <is>
          <t>@Zapchast_2121</t>
        </is>
      </c>
      <c r="M52" s="6" t="inlineStr">
        <is>
          <t>chiqim UZS 430 000 Feruz Apa</t>
        </is>
      </c>
      <c r="N52" s="6" t="inlineStr">
        <is>
          <t>matn</t>
        </is>
      </c>
    </row>
    <row r="53">
      <c r="A53" s="5" t="inlineStr">
        <is>
          <t>2026-04-13</t>
        </is>
      </c>
      <c r="B53" s="5" t="inlineStr">
        <is>
          <t>13:55:42</t>
        </is>
      </c>
      <c r="C53" s="6" t="n">
        <v>7</v>
      </c>
      <c r="D53" s="6" t="inlineStr">
        <is>
          <t>Feruz Apa</t>
        </is>
      </c>
      <c r="E53" s="6" t="inlineStr">
        <is>
          <t>kirim</t>
        </is>
      </c>
      <c r="F53" s="6" t="inlineStr">
        <is>
          <t>UZS</t>
        </is>
      </c>
      <c r="G53" s="7" t="n">
        <v>5000000</v>
      </c>
      <c r="H53" s="8" t="n">
        <v>12160</v>
      </c>
      <c r="I53" s="8" t="n">
        <v>5000000</v>
      </c>
      <c r="J53" s="8" t="n">
        <v>411.1842105263158</v>
      </c>
      <c r="K53" s="6" t="inlineStr">
        <is>
          <t>Telegram orqali kirim</t>
        </is>
      </c>
      <c r="L53" s="6" t="inlineStr">
        <is>
          <t>@Zapchast_2121</t>
        </is>
      </c>
      <c r="M53" s="6" t="inlineStr">
        <is>
          <t>kirim UZS 5 000 000 Feruz Apa</t>
        </is>
      </c>
      <c r="N53" s="6" t="inlineStr">
        <is>
          <t>matn</t>
        </is>
      </c>
    </row>
    <row r="54">
      <c r="A54" s="5" t="inlineStr">
        <is>
          <t>2026-04-13</t>
        </is>
      </c>
      <c r="B54" s="5" t="inlineStr">
        <is>
          <t>17:15:47</t>
        </is>
      </c>
      <c r="C54" s="6" t="n">
        <v>18</v>
      </c>
      <c r="D54" s="6" t="inlineStr">
        <is>
          <t>Abdumo'min Aka</t>
        </is>
      </c>
      <c r="E54" s="6" t="inlineStr">
        <is>
          <t>chiqim</t>
        </is>
      </c>
      <c r="F54" s="6" t="inlineStr">
        <is>
          <t>UZS</t>
        </is>
      </c>
      <c r="G54" s="7" t="n">
        <v>1000000</v>
      </c>
      <c r="H54" s="8" t="n">
        <v>12160</v>
      </c>
      <c r="I54" s="8" t="n">
        <v>1000000</v>
      </c>
      <c r="J54" s="8" t="n">
        <v>82.23684210526316</v>
      </c>
      <c r="K54" s="6" t="inlineStr">
        <is>
          <t>Telegram orqali chiqim</t>
        </is>
      </c>
      <c r="L54" s="6" t="inlineStr">
        <is>
          <t>@Zapchast_2121</t>
        </is>
      </c>
      <c r="M54" s="6" t="inlineStr">
        <is>
          <t>chiqim UZS 1 000 000 Abdumo'min Aka</t>
        </is>
      </c>
      <c r="N54" s="6" t="inlineStr">
        <is>
          <t>matn</t>
        </is>
      </c>
    </row>
    <row r="55">
      <c r="A55" s="5" t="inlineStr">
        <is>
          <t>2026-04-13</t>
        </is>
      </c>
      <c r="B55" s="5" t="inlineStr">
        <is>
          <t>18:16:48</t>
        </is>
      </c>
      <c r="C55" s="6" t="n">
        <v>25</v>
      </c>
      <c r="D55" s="6" t="inlineStr">
        <is>
          <t>Umar Aka</t>
        </is>
      </c>
      <c r="E55" s="6" t="inlineStr">
        <is>
          <t>kirim</t>
        </is>
      </c>
      <c r="F55" s="6" t="inlineStr">
        <is>
          <t>USD</t>
        </is>
      </c>
      <c r="G55" s="7" t="n">
        <v>4100</v>
      </c>
      <c r="H55" s="8" t="n">
        <v>12160</v>
      </c>
      <c r="I55" s="8" t="n">
        <v>49856000</v>
      </c>
      <c r="J55" s="8" t="n">
        <v>4100</v>
      </c>
      <c r="K55" s="6" t="inlineStr">
        <is>
          <t>Telegram orqali kirim</t>
        </is>
      </c>
      <c r="L55" s="6" t="inlineStr">
        <is>
          <t>@Zapchast_2121</t>
        </is>
      </c>
      <c r="M55" s="6" t="inlineStr">
        <is>
          <t>kirim USD 4 100 Umar Aka</t>
        </is>
      </c>
      <c r="N55" s="6" t="inlineStr">
        <is>
          <t>matn</t>
        </is>
      </c>
    </row>
    <row r="56">
      <c r="A56" s="5" t="inlineStr">
        <is>
          <t>2026-04-13</t>
        </is>
      </c>
      <c r="B56" s="5" t="inlineStr">
        <is>
          <t>18:28:41</t>
        </is>
      </c>
      <c r="C56" s="6" t="n">
        <v>25</v>
      </c>
      <c r="D56" s="6" t="inlineStr">
        <is>
          <t>Umar Aka</t>
        </is>
      </c>
      <c r="E56" s="6" t="inlineStr">
        <is>
          <t>kirim</t>
        </is>
      </c>
      <c r="F56" s="6" t="inlineStr">
        <is>
          <t>UZS</t>
        </is>
      </c>
      <c r="G56" s="7" t="n">
        <v>62033760</v>
      </c>
      <c r="H56" s="8" t="n">
        <v>12160</v>
      </c>
      <c r="I56" s="8" t="n">
        <v>62033760</v>
      </c>
      <c r="J56" s="8" t="n">
        <v>5101.460526315789</v>
      </c>
      <c r="K56" s="6" t="inlineStr">
        <is>
          <t>Telegram orqali kirim</t>
        </is>
      </c>
      <c r="L56" s="6" t="inlineStr">
        <is>
          <t>@Zapchast_2121</t>
        </is>
      </c>
      <c r="M56" s="6" t="inlineStr">
        <is>
          <t>kirim UZS 62 033 760 Umar Aka</t>
        </is>
      </c>
      <c r="N56" s="6" t="inlineStr">
        <is>
          <t>matn</t>
        </is>
      </c>
    </row>
    <row r="57">
      <c r="A57" s="5" t="inlineStr">
        <is>
          <t>2026-04-14</t>
        </is>
      </c>
      <c r="B57" s="5" t="inlineStr">
        <is>
          <t>17:06:54</t>
        </is>
      </c>
      <c r="C57" s="6" t="n">
        <v>4</v>
      </c>
      <c r="D57" s="6" t="inlineStr">
        <is>
          <t>Abdumalik Aka Eski</t>
        </is>
      </c>
      <c r="E57" s="6" t="inlineStr">
        <is>
          <t>chiqim</t>
        </is>
      </c>
      <c r="F57" s="6" t="inlineStr">
        <is>
          <t>UZS</t>
        </is>
      </c>
      <c r="G57" s="7" t="n">
        <v>79000</v>
      </c>
      <c r="H57" s="8" t="n">
        <v>12140</v>
      </c>
      <c r="I57" s="8" t="n">
        <v>79000</v>
      </c>
      <c r="J57" s="8" t="n">
        <v>6.507413509060956</v>
      </c>
      <c r="K57" s="6" t="inlineStr">
        <is>
          <t>Telegram orqali chiqim</t>
        </is>
      </c>
      <c r="L57" s="6" t="inlineStr">
        <is>
          <t>@Zapchast_2121</t>
        </is>
      </c>
      <c r="M57" s="6" t="inlineStr">
        <is>
          <t>chiqim UZS 79 000 Abdumalik Aka Eski</t>
        </is>
      </c>
      <c r="N57" s="6" t="inlineStr">
        <is>
          <t>matn</t>
        </is>
      </c>
    </row>
    <row r="58">
      <c r="A58" s="5" t="inlineStr">
        <is>
          <t>2026-04-14</t>
        </is>
      </c>
      <c r="B58" s="5" t="inlineStr">
        <is>
          <t>17:07:19</t>
        </is>
      </c>
      <c r="C58" s="6" t="n">
        <v>4</v>
      </c>
      <c r="D58" s="6" t="inlineStr">
        <is>
          <t>Abdumalik Aka Eski</t>
        </is>
      </c>
      <c r="E58" s="6" t="inlineStr">
        <is>
          <t>chiqim</t>
        </is>
      </c>
      <c r="F58" s="6" t="inlineStr">
        <is>
          <t>UZS</t>
        </is>
      </c>
      <c r="G58" s="7" t="n">
        <v>400000</v>
      </c>
      <c r="H58" s="8" t="n">
        <v>12140</v>
      </c>
      <c r="I58" s="8" t="n">
        <v>400000</v>
      </c>
      <c r="J58" s="8" t="n">
        <v>32.9489291598023</v>
      </c>
      <c r="K58" s="6" t="inlineStr">
        <is>
          <t>Telegram orqali chiqim</t>
        </is>
      </c>
      <c r="L58" s="6" t="inlineStr">
        <is>
          <t>@Zapchast_2121</t>
        </is>
      </c>
      <c r="M58" s="6" t="inlineStr">
        <is>
          <t>chiqim UZS 400 000 Abdumalik Aka Eski</t>
        </is>
      </c>
      <c r="N58" s="6" t="inlineStr">
        <is>
          <t>matn</t>
        </is>
      </c>
    </row>
    <row r="59">
      <c r="A59" s="5" t="inlineStr">
        <is>
          <t>2026-04-15</t>
        </is>
      </c>
      <c r="B59" s="5" t="inlineStr">
        <is>
          <t>15:25:36</t>
        </is>
      </c>
      <c r="C59" s="6" t="n">
        <v>21</v>
      </c>
      <c r="D59" s="6" t="inlineStr">
        <is>
          <t>Husniddin Aka</t>
        </is>
      </c>
      <c r="E59" s="6" t="inlineStr">
        <is>
          <t>kirim</t>
        </is>
      </c>
      <c r="F59" s="6" t="inlineStr">
        <is>
          <t>UZS</t>
        </is>
      </c>
      <c r="G59" s="7" t="n">
        <v>657000</v>
      </c>
      <c r="H59" s="8" t="n">
        <v>12190</v>
      </c>
      <c r="I59" s="8" t="n">
        <v>657000</v>
      </c>
      <c r="J59" s="8" t="n">
        <v>53.89663658736669</v>
      </c>
      <c r="K59" s="6" t="inlineStr">
        <is>
          <t>Telegram orqali kirim</t>
        </is>
      </c>
      <c r="L59" s="6" t="inlineStr">
        <is>
          <t>@Zapchast_2121</t>
        </is>
      </c>
      <c r="M59" s="6" t="inlineStr">
        <is>
          <t>kirim UZS 657 000 Husniddin Aka</t>
        </is>
      </c>
      <c r="N59" s="6" t="inlineStr">
        <is>
          <t>matn</t>
        </is>
      </c>
    </row>
    <row r="60">
      <c r="A60" s="5" t="inlineStr">
        <is>
          <t>2026-04-15</t>
        </is>
      </c>
      <c r="B60" s="5" t="inlineStr">
        <is>
          <t>18:18:30</t>
        </is>
      </c>
      <c r="C60" s="6" t="n">
        <v>15</v>
      </c>
      <c r="D60" s="6" t="inlineStr">
        <is>
          <t>Alisher Aka 0922</t>
        </is>
      </c>
      <c r="E60" s="6" t="inlineStr">
        <is>
          <t>chiqim</t>
        </is>
      </c>
      <c r="F60" s="6" t="inlineStr">
        <is>
          <t>UZS</t>
        </is>
      </c>
      <c r="G60" s="7" t="n">
        <v>200000</v>
      </c>
      <c r="H60" s="8" t="n">
        <v>12190</v>
      </c>
      <c r="I60" s="8" t="n">
        <v>200000</v>
      </c>
      <c r="J60" s="8" t="n">
        <v>16.40689089417555</v>
      </c>
      <c r="K60" s="6" t="inlineStr">
        <is>
          <t>Telegram orqali chiqim</t>
        </is>
      </c>
      <c r="L60" s="6" t="inlineStr">
        <is>
          <t>@Zapchast_2121</t>
        </is>
      </c>
      <c r="M60" s="6" t="inlineStr">
        <is>
          <t>chiqim UZS 200 000 Alisher Aka 0922</t>
        </is>
      </c>
      <c r="N60" s="6" t="inlineStr">
        <is>
          <t>matn</t>
        </is>
      </c>
    </row>
    <row r="61">
      <c r="A61" s="5" t="inlineStr">
        <is>
          <t>2026-04-16</t>
        </is>
      </c>
      <c r="B61" s="5" t="inlineStr">
        <is>
          <t>12:10:40</t>
        </is>
      </c>
      <c r="C61" s="6" t="n">
        <v>12</v>
      </c>
      <c r="D61" s="6" t="inlineStr">
        <is>
          <t>Islomxon Usta eski</t>
        </is>
      </c>
      <c r="E61" s="6" t="inlineStr">
        <is>
          <t>chiqim</t>
        </is>
      </c>
      <c r="F61" s="6" t="inlineStr">
        <is>
          <t>UZS</t>
        </is>
      </c>
      <c r="G61" s="7" t="n">
        <v>74000</v>
      </c>
      <c r="H61" s="8" t="n">
        <v>12210</v>
      </c>
      <c r="I61" s="8" t="n">
        <v>74000</v>
      </c>
      <c r="J61" s="8" t="n">
        <v>6.060606060606061</v>
      </c>
      <c r="K61" s="6" t="inlineStr">
        <is>
          <t>Telegram orqali chiqim</t>
        </is>
      </c>
      <c r="L61" s="6" t="inlineStr">
        <is>
          <t>@Zapchast_2121</t>
        </is>
      </c>
      <c r="M61" s="6" t="inlineStr">
        <is>
          <t>chiqim UZS 74 000 Islomxon Usta eski</t>
        </is>
      </c>
      <c r="N61" s="6" t="inlineStr">
        <is>
          <t>matn</t>
        </is>
      </c>
    </row>
    <row r="62">
      <c r="A62" s="5" t="inlineStr">
        <is>
          <t>2026-04-16</t>
        </is>
      </c>
      <c r="B62" s="5" t="inlineStr">
        <is>
          <t>12:12:00</t>
        </is>
      </c>
      <c r="C62" s="6" t="n">
        <v>12</v>
      </c>
      <c r="D62" s="6" t="inlineStr">
        <is>
          <t>Islomxon Usta eski</t>
        </is>
      </c>
      <c r="E62" s="6" t="inlineStr">
        <is>
          <t>kirim</t>
        </is>
      </c>
      <c r="F62" s="6" t="inlineStr">
        <is>
          <t>UZS</t>
        </is>
      </c>
      <c r="G62" s="7" t="n">
        <v>4692640</v>
      </c>
      <c r="H62" s="8" t="n">
        <v>12210</v>
      </c>
      <c r="I62" s="8" t="n">
        <v>4692640</v>
      </c>
      <c r="J62" s="8" t="n">
        <v>384.3276003276004</v>
      </c>
      <c r="K62" s="6" t="inlineStr">
        <is>
          <t>Telegram orqali kirim</t>
        </is>
      </c>
      <c r="L62" s="6" t="inlineStr">
        <is>
          <t>@Zapchast_2121</t>
        </is>
      </c>
      <c r="M62" s="6" t="inlineStr">
        <is>
          <t>kirim UZS 4 692 640 Islomxon Usta eski</t>
        </is>
      </c>
      <c r="N62" s="6" t="inlineStr">
        <is>
          <t>matn</t>
        </is>
      </c>
    </row>
    <row r="63">
      <c r="A63" s="5" t="inlineStr">
        <is>
          <t>2026-04-16</t>
        </is>
      </c>
      <c r="B63" s="5" t="inlineStr">
        <is>
          <t>12:15:48</t>
        </is>
      </c>
      <c r="C63" s="6" t="n">
        <v>27</v>
      </c>
      <c r="D63" s="6" t="inlineStr">
        <is>
          <t>Islomxon usta Ganjiravon</t>
        </is>
      </c>
      <c r="E63" s="6" t="inlineStr">
        <is>
          <t>chiqim</t>
        </is>
      </c>
      <c r="F63" s="6" t="inlineStr">
        <is>
          <t>UZS</t>
        </is>
      </c>
      <c r="G63" s="7" t="n">
        <v>4752000</v>
      </c>
      <c r="H63" s="8" t="n">
        <v>12210</v>
      </c>
      <c r="I63" s="8" t="n">
        <v>4752000</v>
      </c>
      <c r="J63" s="8" t="n">
        <v>389.1891891891892</v>
      </c>
      <c r="K63" s="6" t="inlineStr">
        <is>
          <t>Telegram orqali chiqim</t>
        </is>
      </c>
      <c r="L63" s="6" t="inlineStr">
        <is>
          <t>@Zapchast_2121</t>
        </is>
      </c>
      <c r="M63" s="6" t="inlineStr">
        <is>
          <t>chiqim UZS 4 752 000 Islomxon usta Ganjiravon</t>
        </is>
      </c>
      <c r="N63" s="6" t="inlineStr">
        <is>
          <t>matn</t>
        </is>
      </c>
    </row>
    <row r="64">
      <c r="A64" s="5" t="inlineStr">
        <is>
          <t>2026-04-16</t>
        </is>
      </c>
      <c r="B64" s="5" t="inlineStr">
        <is>
          <t>12:16:07</t>
        </is>
      </c>
      <c r="C64" s="6" t="n">
        <v>27</v>
      </c>
      <c r="D64" s="6" t="inlineStr">
        <is>
          <t>Islomxon usta Ganjiravon</t>
        </is>
      </c>
      <c r="E64" s="6" t="inlineStr">
        <is>
          <t>chiqim</t>
        </is>
      </c>
      <c r="F64" s="6" t="inlineStr">
        <is>
          <t>USD</t>
        </is>
      </c>
      <c r="G64" s="7" t="n">
        <v>50</v>
      </c>
      <c r="H64" s="8" t="n">
        <v>12210</v>
      </c>
      <c r="I64" s="8" t="n">
        <v>610500</v>
      </c>
      <c r="J64" s="8" t="n">
        <v>50</v>
      </c>
      <c r="K64" s="6" t="inlineStr">
        <is>
          <t>Telegram orqali chiqim</t>
        </is>
      </c>
      <c r="L64" s="6" t="inlineStr">
        <is>
          <t>@Zapchast_2121</t>
        </is>
      </c>
      <c r="M64" s="6" t="inlineStr">
        <is>
          <t>chiqim USD 50 Islomxon usta Ganjiravon</t>
        </is>
      </c>
      <c r="N64" s="6" t="inlineStr">
        <is>
          <t>matn</t>
        </is>
      </c>
    </row>
    <row r="65">
      <c r="A65" s="5" t="inlineStr">
        <is>
          <t>2026-04-17</t>
        </is>
      </c>
      <c r="B65" s="5" t="inlineStr">
        <is>
          <t>14:16:20</t>
        </is>
      </c>
      <c r="C65" s="6" t="n">
        <v>19</v>
      </c>
      <c r="D65" s="6" t="inlineStr">
        <is>
          <t>Ilxom Aka 0083</t>
        </is>
      </c>
      <c r="E65" s="6" t="inlineStr">
        <is>
          <t>kirim</t>
        </is>
      </c>
      <c r="F65" s="6" t="inlineStr">
        <is>
          <t>UZS</t>
        </is>
      </c>
      <c r="G65" s="7" t="n">
        <v>8600000</v>
      </c>
      <c r="H65" s="8" t="n">
        <v>12170</v>
      </c>
      <c r="I65" s="8" t="n">
        <v>8600000</v>
      </c>
      <c r="J65" s="8" t="n">
        <v>706.6557107641742</v>
      </c>
      <c r="K65" s="6" t="inlineStr">
        <is>
          <t>Telegram orqali kirim</t>
        </is>
      </c>
      <c r="L65" s="6" t="inlineStr">
        <is>
          <t>@Zapchast_2121</t>
        </is>
      </c>
      <c r="M65" s="6" t="inlineStr">
        <is>
          <t>kirim UZS 8 600 000 Ilxom Aka 0083</t>
        </is>
      </c>
      <c r="N65" s="6" t="inlineStr">
        <is>
          <t>matn</t>
        </is>
      </c>
    </row>
    <row r="66">
      <c r="A66" s="5" t="inlineStr">
        <is>
          <t>2026-04-17</t>
        </is>
      </c>
      <c r="B66" s="5" t="inlineStr">
        <is>
          <t>17:31:45</t>
        </is>
      </c>
      <c r="C66" s="6" t="n">
        <v>3</v>
      </c>
      <c r="D66" s="6" t="inlineStr">
        <is>
          <t>Sardor Aka</t>
        </is>
      </c>
      <c r="E66" s="6" t="inlineStr">
        <is>
          <t>chiqim</t>
        </is>
      </c>
      <c r="F66" s="6" t="inlineStr">
        <is>
          <t>UZS</t>
        </is>
      </c>
      <c r="G66" s="7" t="n">
        <v>263000</v>
      </c>
      <c r="H66" s="8" t="n">
        <v>12170</v>
      </c>
      <c r="I66" s="8" t="n">
        <v>263000</v>
      </c>
      <c r="J66" s="8" t="n">
        <v>21.61051766639277</v>
      </c>
      <c r="K66" s="6" t="inlineStr">
        <is>
          <t>Telegram orqali chiqim</t>
        </is>
      </c>
      <c r="L66" s="6" t="inlineStr">
        <is>
          <t>@Zapchast_2121</t>
        </is>
      </c>
      <c r="M66" s="6" t="inlineStr">
        <is>
          <t>chiqim UZS 263 000 Sardor Aka</t>
        </is>
      </c>
      <c r="N66" s="6" t="inlineStr">
        <is>
          <t>matn</t>
        </is>
      </c>
    </row>
    <row r="67">
      <c r="A67" s="5" t="inlineStr">
        <is>
          <t>2026-04-17</t>
        </is>
      </c>
      <c r="B67" s="5" t="inlineStr">
        <is>
          <t>17:33:06</t>
        </is>
      </c>
      <c r="C67" s="6" t="n">
        <v>12</v>
      </c>
      <c r="D67" s="6" t="inlineStr">
        <is>
          <t>Islomxon Usta eski</t>
        </is>
      </c>
      <c r="E67" s="6" t="inlineStr">
        <is>
          <t>chiqim</t>
        </is>
      </c>
      <c r="F67" s="6" t="inlineStr">
        <is>
          <t>USD</t>
        </is>
      </c>
      <c r="G67" s="7" t="n">
        <v>210</v>
      </c>
      <c r="H67" s="8" t="n">
        <v>12170</v>
      </c>
      <c r="I67" s="8" t="n">
        <v>2555700</v>
      </c>
      <c r="J67" s="8" t="n">
        <v>210</v>
      </c>
      <c r="K67" s="6" t="inlineStr">
        <is>
          <t>Telegram orqali chiqim</t>
        </is>
      </c>
      <c r="L67" s="6" t="inlineStr">
        <is>
          <t>@Zapchast_2121</t>
        </is>
      </c>
      <c r="M67" s="6" t="inlineStr">
        <is>
          <t>chiqim USD 210 Islomxon Usta eski</t>
        </is>
      </c>
      <c r="N67" s="6" t="inlineStr">
        <is>
          <t>matn</t>
        </is>
      </c>
    </row>
    <row r="68">
      <c r="A68" s="5" t="inlineStr">
        <is>
          <t>2026-04-17</t>
        </is>
      </c>
      <c r="B68" s="5" t="inlineStr">
        <is>
          <t>17:33:18</t>
        </is>
      </c>
      <c r="C68" s="6" t="n">
        <v>12</v>
      </c>
      <c r="D68" s="6" t="inlineStr">
        <is>
          <t>Islomxon Usta eski</t>
        </is>
      </c>
      <c r="E68" s="6" t="inlineStr">
        <is>
          <t>chiqim</t>
        </is>
      </c>
      <c r="F68" s="6" t="inlineStr">
        <is>
          <t>UZS</t>
        </is>
      </c>
      <c r="G68" s="7" t="n">
        <v>1107000</v>
      </c>
      <c r="H68" s="8" t="n">
        <v>12170</v>
      </c>
      <c r="I68" s="8" t="n">
        <v>1107000</v>
      </c>
      <c r="J68" s="8" t="n">
        <v>90.96138044371405</v>
      </c>
      <c r="K68" s="6" t="inlineStr">
        <is>
          <t>Telegram orqali chiqim</t>
        </is>
      </c>
      <c r="L68" s="6" t="inlineStr">
        <is>
          <t>@Zapchast_2121</t>
        </is>
      </c>
      <c r="M68" s="6" t="inlineStr">
        <is>
          <t>chiqim UZS 1 107 000 Islomxon Usta eski</t>
        </is>
      </c>
      <c r="N68" s="6" t="inlineStr">
        <is>
          <t>matn</t>
        </is>
      </c>
    </row>
    <row r="69">
      <c r="A69" s="5" t="inlineStr">
        <is>
          <t>2026-04-17</t>
        </is>
      </c>
      <c r="B69" s="5" t="inlineStr">
        <is>
          <t>17:35:15</t>
        </is>
      </c>
      <c r="C69" s="6" t="n">
        <v>2</v>
      </c>
      <c r="D69" s="6" t="inlineStr">
        <is>
          <t>Yuksalish</t>
        </is>
      </c>
      <c r="E69" s="6" t="inlineStr">
        <is>
          <t>chiqim</t>
        </is>
      </c>
      <c r="F69" s="6" t="inlineStr">
        <is>
          <t>UZS</t>
        </is>
      </c>
      <c r="G69" s="7" t="n">
        <v>260000</v>
      </c>
      <c r="H69" s="8" t="n">
        <v>12170</v>
      </c>
      <c r="I69" s="8" t="n">
        <v>260000</v>
      </c>
      <c r="J69" s="8" t="n">
        <v>21.36400986031224</v>
      </c>
      <c r="K69" s="6" t="inlineStr">
        <is>
          <t>Telegram orqali chiqim</t>
        </is>
      </c>
      <c r="L69" s="6" t="inlineStr">
        <is>
          <t>@Zapchast_2121</t>
        </is>
      </c>
      <c r="M69" s="6" t="inlineStr">
        <is>
          <t>chiqim UZS 260 000 Yuksalish</t>
        </is>
      </c>
      <c r="N69" s="6" t="inlineStr">
        <is>
          <t>matn</t>
        </is>
      </c>
    </row>
    <row r="70">
      <c r="A70" s="5" t="inlineStr">
        <is>
          <t>2026-04-17</t>
        </is>
      </c>
      <c r="B70" s="5" t="inlineStr">
        <is>
          <t>17:35:25</t>
        </is>
      </c>
      <c r="C70" s="6" t="n">
        <v>2</v>
      </c>
      <c r="D70" s="6" t="inlineStr">
        <is>
          <t>Yuksalish</t>
        </is>
      </c>
      <c r="E70" s="6" t="inlineStr">
        <is>
          <t>chiqim</t>
        </is>
      </c>
      <c r="F70" s="6" t="inlineStr">
        <is>
          <t>USD</t>
        </is>
      </c>
      <c r="G70" s="7" t="n">
        <v>60</v>
      </c>
      <c r="H70" s="8" t="n">
        <v>12170</v>
      </c>
      <c r="I70" s="8" t="n">
        <v>730200</v>
      </c>
      <c r="J70" s="8" t="n">
        <v>60</v>
      </c>
      <c r="K70" s="6" t="inlineStr">
        <is>
          <t>Telegram orqali chiqim</t>
        </is>
      </c>
      <c r="L70" s="6" t="inlineStr">
        <is>
          <t>@Zapchast_2121</t>
        </is>
      </c>
      <c r="M70" s="6" t="inlineStr">
        <is>
          <t>chiqim USD 60 Yuksalish</t>
        </is>
      </c>
      <c r="N70" s="6" t="inlineStr">
        <is>
          <t>matn</t>
        </is>
      </c>
    </row>
    <row r="71">
      <c r="A71" s="5" t="inlineStr">
        <is>
          <t>2026-04-17</t>
        </is>
      </c>
      <c r="B71" s="5" t="inlineStr">
        <is>
          <t>17:35:47</t>
        </is>
      </c>
      <c r="C71" s="6" t="n">
        <v>25</v>
      </c>
      <c r="D71" s="6" t="inlineStr">
        <is>
          <t>Umar Aka</t>
        </is>
      </c>
      <c r="E71" s="6" t="inlineStr">
        <is>
          <t>chiqim</t>
        </is>
      </c>
      <c r="F71" s="6" t="inlineStr">
        <is>
          <t>USD</t>
        </is>
      </c>
      <c r="G71" s="7" t="n">
        <v>22</v>
      </c>
      <c r="H71" s="8" t="n">
        <v>12170</v>
      </c>
      <c r="I71" s="8" t="n">
        <v>267740</v>
      </c>
      <c r="J71" s="8" t="n">
        <v>22</v>
      </c>
      <c r="K71" s="6" t="inlineStr">
        <is>
          <t>Telegram orqali chiqim</t>
        </is>
      </c>
      <c r="L71" s="6" t="inlineStr">
        <is>
          <t>@Zapchast_2121</t>
        </is>
      </c>
      <c r="M71" s="6" t="inlineStr">
        <is>
          <t>chiqim USD 22 Umar Aka</t>
        </is>
      </c>
      <c r="N71" s="6" t="inlineStr">
        <is>
          <t>matn</t>
        </is>
      </c>
    </row>
    <row r="72">
      <c r="A72" s="5" t="inlineStr">
        <is>
          <t>2026-04-17</t>
        </is>
      </c>
      <c r="B72" s="5" t="inlineStr">
        <is>
          <t>17:35:55</t>
        </is>
      </c>
      <c r="C72" s="6" t="n">
        <v>25</v>
      </c>
      <c r="D72" s="6" t="inlineStr">
        <is>
          <t>Umar Aka</t>
        </is>
      </c>
      <c r="E72" s="6" t="inlineStr">
        <is>
          <t>chiqim</t>
        </is>
      </c>
      <c r="F72" s="6" t="inlineStr">
        <is>
          <t>UZS</t>
        </is>
      </c>
      <c r="G72" s="7" t="n">
        <v>90000</v>
      </c>
      <c r="H72" s="8" t="n">
        <v>12170</v>
      </c>
      <c r="I72" s="8" t="n">
        <v>90000</v>
      </c>
      <c r="J72" s="8" t="n">
        <v>7.395234182415776</v>
      </c>
      <c r="K72" s="6" t="inlineStr">
        <is>
          <t>Telegram orqali chiqim</t>
        </is>
      </c>
      <c r="L72" s="6" t="inlineStr">
        <is>
          <t>@Zapchast_2121</t>
        </is>
      </c>
      <c r="M72" s="6" t="inlineStr">
        <is>
          <t>chiqim UZS 90 000 Umar Aka</t>
        </is>
      </c>
      <c r="N72" s="6" t="inlineStr">
        <is>
          <t>matn</t>
        </is>
      </c>
    </row>
    <row r="73">
      <c r="A73" s="5" t="inlineStr">
        <is>
          <t>2026-04-17</t>
        </is>
      </c>
      <c r="B73" s="5" t="inlineStr">
        <is>
          <t>17:36:17</t>
        </is>
      </c>
      <c r="C73" s="6" t="n">
        <v>22</v>
      </c>
      <c r="D73" s="6" t="inlineStr">
        <is>
          <t>Abdumalik A Bal</t>
        </is>
      </c>
      <c r="E73" s="6" t="inlineStr">
        <is>
          <t>chiqim</t>
        </is>
      </c>
      <c r="F73" s="6" t="inlineStr">
        <is>
          <t>UZS</t>
        </is>
      </c>
      <c r="G73" s="7" t="n">
        <v>200000</v>
      </c>
      <c r="H73" s="8" t="n">
        <v>12179</v>
      </c>
      <c r="I73" s="8" t="n">
        <v>200000</v>
      </c>
      <c r="J73" s="8" t="n">
        <v>16.42170949995895</v>
      </c>
      <c r="K73" s="6" t="inlineStr">
        <is>
          <t>Telegram orqali chiqim</t>
        </is>
      </c>
      <c r="L73" s="6" t="inlineStr">
        <is>
          <t>@Zapchast_2121</t>
        </is>
      </c>
      <c r="M73" s="6" t="inlineStr">
        <is>
          <t>chiqim UZS 200 000 Abdumalik A Bal</t>
        </is>
      </c>
      <c r="N73" s="6" t="inlineStr">
        <is>
          <t>matn</t>
        </is>
      </c>
    </row>
    <row r="74">
      <c r="A74" s="5" t="inlineStr">
        <is>
          <t>2026-04-18</t>
        </is>
      </c>
      <c r="B74" s="5" t="inlineStr">
        <is>
          <t>11:52:03</t>
        </is>
      </c>
      <c r="C74" s="6" t="n">
        <v>5</v>
      </c>
      <c r="D74" s="6" t="inlineStr">
        <is>
          <t>Dilshod Aka</t>
        </is>
      </c>
      <c r="E74" s="6" t="inlineStr">
        <is>
          <t>kirim</t>
        </is>
      </c>
      <c r="F74" s="6" t="inlineStr">
        <is>
          <t>USD</t>
        </is>
      </c>
      <c r="G74" s="7" t="n">
        <v>1100</v>
      </c>
      <c r="H74" s="8" t="n">
        <v>12150</v>
      </c>
      <c r="I74" s="8" t="n">
        <v>13365000</v>
      </c>
      <c r="J74" s="8" t="n">
        <v>1100</v>
      </c>
      <c r="K74" s="6" t="inlineStr">
        <is>
          <t>Telegram orqali kirim</t>
        </is>
      </c>
      <c r="L74" s="6" t="inlineStr">
        <is>
          <t>@Zapchast_2121</t>
        </is>
      </c>
      <c r="M74" s="6" t="inlineStr">
        <is>
          <t>kirim USD 1 100 Dilshod Aka</t>
        </is>
      </c>
      <c r="N74" s="6" t="inlineStr">
        <is>
          <t>matn</t>
        </is>
      </c>
    </row>
    <row r="75">
      <c r="A75" s="5" t="inlineStr">
        <is>
          <t>2026-04-18</t>
        </is>
      </c>
      <c r="B75" s="5" t="inlineStr">
        <is>
          <t>17:26:15</t>
        </is>
      </c>
      <c r="C75" s="6" t="n">
        <v>25</v>
      </c>
      <c r="D75" s="6" t="inlineStr">
        <is>
          <t>Umar Aka</t>
        </is>
      </c>
      <c r="E75" s="6" t="inlineStr">
        <is>
          <t>chiqim</t>
        </is>
      </c>
      <c r="F75" s="6" t="inlineStr">
        <is>
          <t>UZS</t>
        </is>
      </c>
      <c r="G75" s="7" t="n">
        <v>1114000</v>
      </c>
      <c r="H75" s="8" t="n">
        <v>12170</v>
      </c>
      <c r="I75" s="8" t="n">
        <v>1114000</v>
      </c>
      <c r="J75" s="8" t="n">
        <v>91.53656532456861</v>
      </c>
      <c r="K75" s="6" t="inlineStr">
        <is>
          <t>Telegram orqali chiqim</t>
        </is>
      </c>
      <c r="L75" s="6" t="inlineStr">
        <is>
          <t>@Zapchast_2121</t>
        </is>
      </c>
      <c r="M75" s="6" t="inlineStr">
        <is>
          <t>chiqim UZS 1 114 000 Umar Aka</t>
        </is>
      </c>
      <c r="N75" s="6" t="inlineStr">
        <is>
          <t>matn</t>
        </is>
      </c>
    </row>
    <row r="76">
      <c r="A76" s="5" t="inlineStr">
        <is>
          <t>2026-04-18</t>
        </is>
      </c>
      <c r="B76" s="5" t="inlineStr">
        <is>
          <t>17:26:44</t>
        </is>
      </c>
      <c r="C76" s="6" t="n">
        <v>22</v>
      </c>
      <c r="D76" s="6" t="inlineStr">
        <is>
          <t>Abdumalik A Bal</t>
        </is>
      </c>
      <c r="E76" s="6" t="inlineStr">
        <is>
          <t>chiqim</t>
        </is>
      </c>
      <c r="F76" s="6" t="inlineStr">
        <is>
          <t>USD</t>
        </is>
      </c>
      <c r="G76" s="7" t="n">
        <v>7</v>
      </c>
      <c r="H76" s="8" t="n">
        <v>12170</v>
      </c>
      <c r="I76" s="8" t="n">
        <v>85190</v>
      </c>
      <c r="J76" s="8" t="n">
        <v>7</v>
      </c>
      <c r="K76" s="6" t="inlineStr">
        <is>
          <t>Telegram orqali chiqim</t>
        </is>
      </c>
      <c r="L76" s="6" t="inlineStr">
        <is>
          <t>@Zapchast_2121</t>
        </is>
      </c>
      <c r="M76" s="6" t="inlineStr">
        <is>
          <t>chiqim USD 7 Abdumalik A Bal</t>
        </is>
      </c>
      <c r="N76" s="6" t="inlineStr">
        <is>
          <t>matn</t>
        </is>
      </c>
    </row>
    <row r="77">
      <c r="A77" s="5" t="inlineStr">
        <is>
          <t>2026-04-18</t>
        </is>
      </c>
      <c r="B77" s="5" t="inlineStr">
        <is>
          <t>17:27:08</t>
        </is>
      </c>
      <c r="C77" s="6" t="inlineStr"/>
      <c r="D77" s="6" t="inlineStr"/>
      <c r="E77" s="6" t="inlineStr"/>
      <c r="F77" s="6" t="inlineStr">
        <is>
          <t>UZS</t>
        </is>
      </c>
      <c r="G77" s="7" t="n">
        <v>175000</v>
      </c>
      <c r="H77" s="8" t="inlineStr"/>
      <c r="I77" s="8" t="n">
        <v>175000</v>
      </c>
      <c r="J77" s="8" t="n">
        <v>0</v>
      </c>
      <c r="K77" s="6" t="inlineStr">
        <is>
          <t>175000</t>
        </is>
      </c>
      <c r="L77" s="6" t="inlineStr">
        <is>
          <t>@Zapchast_2121</t>
        </is>
      </c>
      <c r="M77" s="6" t="inlineStr">
        <is>
          <t>175000</t>
        </is>
      </c>
      <c r="N77" s="6" t="inlineStr">
        <is>
          <t>matn</t>
        </is>
      </c>
    </row>
    <row r="78">
      <c r="A78" s="5" t="inlineStr">
        <is>
          <t>2026-04-18</t>
        </is>
      </c>
      <c r="B78" s="5" t="inlineStr">
        <is>
          <t>17:27:34</t>
        </is>
      </c>
      <c r="C78" s="6" t="n">
        <v>23</v>
      </c>
      <c r="D78" s="6" t="inlineStr">
        <is>
          <t>Abdumalik A 2323</t>
        </is>
      </c>
      <c r="E78" s="6" t="inlineStr">
        <is>
          <t>chiqim</t>
        </is>
      </c>
      <c r="F78" s="6" t="inlineStr">
        <is>
          <t>UZS</t>
        </is>
      </c>
      <c r="G78" s="7" t="n">
        <v>175000</v>
      </c>
      <c r="H78" s="8" t="n">
        <v>12170</v>
      </c>
      <c r="I78" s="8" t="n">
        <v>175000</v>
      </c>
      <c r="J78" s="8" t="n">
        <v>14.37962202136401</v>
      </c>
      <c r="K78" s="6" t="inlineStr">
        <is>
          <t>Telegram orqali chiqim</t>
        </is>
      </c>
      <c r="L78" s="6" t="inlineStr">
        <is>
          <t>@Zapchast_2121</t>
        </is>
      </c>
      <c r="M78" s="6" t="inlineStr">
        <is>
          <t>chiqim UZS 175 000 Abdumalik A 2323</t>
        </is>
      </c>
      <c r="N78" s="6" t="inlineStr">
        <is>
          <t>matn</t>
        </is>
      </c>
    </row>
    <row r="79">
      <c r="A79" s="5" t="inlineStr">
        <is>
          <t>2026-04-19</t>
        </is>
      </c>
      <c r="B79" s="5" t="inlineStr">
        <is>
          <t>13:30:14</t>
        </is>
      </c>
      <c r="C79" s="6" t="n">
        <v>8</v>
      </c>
      <c r="D79" s="6" t="inlineStr">
        <is>
          <t>Abdurahmon</t>
        </is>
      </c>
      <c r="E79" s="6" t="inlineStr">
        <is>
          <t>kirim</t>
        </is>
      </c>
      <c r="F79" s="6" t="inlineStr">
        <is>
          <t>USD</t>
        </is>
      </c>
      <c r="G79" s="7" t="n">
        <v>1000</v>
      </c>
      <c r="H79" s="8" t="n">
        <v>12150</v>
      </c>
      <c r="I79" s="8" t="n">
        <v>12150000</v>
      </c>
      <c r="J79" s="8" t="n">
        <v>1000</v>
      </c>
      <c r="K79" s="6" t="inlineStr">
        <is>
          <t>Telegram orqali kirim</t>
        </is>
      </c>
      <c r="L79" s="6" t="inlineStr">
        <is>
          <t>@Zapchast_2121</t>
        </is>
      </c>
      <c r="M79" s="6" t="inlineStr">
        <is>
          <t>kirim USD 1 000 Abdurahmon</t>
        </is>
      </c>
      <c r="N79" s="6" t="inlineStr">
        <is>
          <t>matn</t>
        </is>
      </c>
    </row>
    <row r="80">
      <c r="A80" s="5" t="inlineStr">
        <is>
          <t>2026-04-19</t>
        </is>
      </c>
      <c r="B80" s="5" t="inlineStr">
        <is>
          <t>17:51:04</t>
        </is>
      </c>
      <c r="C80" s="6" t="n">
        <v>19</v>
      </c>
      <c r="D80" s="6" t="inlineStr">
        <is>
          <t>Ilxom Aka 0083</t>
        </is>
      </c>
      <c r="E80" s="6" t="inlineStr">
        <is>
          <t>chiqim</t>
        </is>
      </c>
      <c r="F80" s="6" t="inlineStr">
        <is>
          <t>UZS</t>
        </is>
      </c>
      <c r="G80" s="7" t="n">
        <v>747000</v>
      </c>
      <c r="H80" s="8" t="n">
        <v>12150</v>
      </c>
      <c r="I80" s="8" t="n">
        <v>747000</v>
      </c>
      <c r="J80" s="8" t="n">
        <v>61.48148148148148</v>
      </c>
      <c r="K80" s="6" t="inlineStr">
        <is>
          <t>Telegram orqali chiqim</t>
        </is>
      </c>
      <c r="L80" s="6" t="inlineStr">
        <is>
          <t>@Zapchast_2121</t>
        </is>
      </c>
      <c r="M80" s="6" t="inlineStr">
        <is>
          <t>chiqim UZS 747 000 Ilxom Aka 0083</t>
        </is>
      </c>
      <c r="N80" s="6" t="inlineStr">
        <is>
          <t>matn</t>
        </is>
      </c>
    </row>
    <row r="81">
      <c r="A81" s="5" t="inlineStr">
        <is>
          <t>2026-04-19</t>
        </is>
      </c>
      <c r="B81" s="5" t="inlineStr">
        <is>
          <t>17:51:36</t>
        </is>
      </c>
      <c r="C81" s="6" t="n">
        <v>26</v>
      </c>
      <c r="D81" s="6" t="inlineStr">
        <is>
          <t>Avaz Aka Marg'ilon</t>
        </is>
      </c>
      <c r="E81" s="6" t="inlineStr">
        <is>
          <t>chiqim</t>
        </is>
      </c>
      <c r="F81" s="6" t="inlineStr">
        <is>
          <t>USD</t>
        </is>
      </c>
      <c r="G81" s="7" t="n">
        <v>15</v>
      </c>
      <c r="H81" s="8" t="n">
        <v>12150</v>
      </c>
      <c r="I81" s="8" t="n">
        <v>182250</v>
      </c>
      <c r="J81" s="8" t="n">
        <v>15</v>
      </c>
      <c r="K81" s="6" t="inlineStr">
        <is>
          <t>Telegram orqali chiqim</t>
        </is>
      </c>
      <c r="L81" s="6" t="inlineStr">
        <is>
          <t>@Zapchast_2121</t>
        </is>
      </c>
      <c r="M81" s="6" t="inlineStr">
        <is>
          <t>chiqim USD 15 Avaz Aka Marg'ilon</t>
        </is>
      </c>
      <c r="N81" s="6" t="inlineStr">
        <is>
          <t>matn</t>
        </is>
      </c>
    </row>
    <row r="82">
      <c r="A82" s="5" t="inlineStr">
        <is>
          <t>2026-04-19</t>
        </is>
      </c>
      <c r="B82" s="5" t="inlineStr">
        <is>
          <t>17:52:01</t>
        </is>
      </c>
      <c r="C82" s="6" t="n">
        <v>14</v>
      </c>
      <c r="D82" s="6" t="inlineStr">
        <is>
          <t>Alisher Aka Usta</t>
        </is>
      </c>
      <c r="E82" s="6" t="inlineStr">
        <is>
          <t>chiqim</t>
        </is>
      </c>
      <c r="F82" s="6" t="inlineStr">
        <is>
          <t>USD</t>
        </is>
      </c>
      <c r="G82" s="7" t="n">
        <v>40</v>
      </c>
      <c r="H82" s="8" t="n">
        <v>12150</v>
      </c>
      <c r="I82" s="8" t="n">
        <v>486000</v>
      </c>
      <c r="J82" s="8" t="n">
        <v>40</v>
      </c>
      <c r="K82" s="6" t="inlineStr">
        <is>
          <t>Telegram orqali chiqim</t>
        </is>
      </c>
      <c r="L82" s="6" t="inlineStr">
        <is>
          <t>@Zapchast_2121</t>
        </is>
      </c>
      <c r="M82" s="6" t="inlineStr">
        <is>
          <t>chiqim USD 40 Alisher Aka Usta</t>
        </is>
      </c>
      <c r="N82" s="6" t="inlineStr">
        <is>
          <t>matn</t>
        </is>
      </c>
    </row>
    <row r="83">
      <c r="A83" s="5" t="inlineStr">
        <is>
          <t>2026-04-19</t>
        </is>
      </c>
      <c r="B83" s="5" t="inlineStr">
        <is>
          <t>17:52:54</t>
        </is>
      </c>
      <c r="C83" s="6" t="n">
        <v>23</v>
      </c>
      <c r="D83" s="6" t="inlineStr">
        <is>
          <t>Abdumalik A 2323</t>
        </is>
      </c>
      <c r="E83" s="6" t="inlineStr">
        <is>
          <t>chiqim</t>
        </is>
      </c>
      <c r="F83" s="6" t="inlineStr">
        <is>
          <t>USD</t>
        </is>
      </c>
      <c r="G83" s="7" t="n">
        <v>8</v>
      </c>
      <c r="H83" s="8" t="n">
        <v>12150</v>
      </c>
      <c r="I83" s="8" t="n">
        <v>97200</v>
      </c>
      <c r="J83" s="8" t="n">
        <v>8</v>
      </c>
      <c r="K83" s="6" t="inlineStr">
        <is>
          <t>Telegram orqali chiqim</t>
        </is>
      </c>
      <c r="L83" s="6" t="inlineStr">
        <is>
          <t>@Zapchast_2121</t>
        </is>
      </c>
      <c r="M83" s="6" t="inlineStr">
        <is>
          <t>chiqim USD 8 Abdumalik A 2323</t>
        </is>
      </c>
      <c r="N83" s="6" t="inlineStr">
        <is>
          <t>matn</t>
        </is>
      </c>
    </row>
    <row r="84">
      <c r="A84" s="5" t="inlineStr">
        <is>
          <t>2026-04-20</t>
        </is>
      </c>
      <c r="B84" s="5" t="inlineStr">
        <is>
          <t>17:40:10</t>
        </is>
      </c>
      <c r="C84" s="6" t="n">
        <v>8</v>
      </c>
      <c r="D84" s="6" t="inlineStr">
        <is>
          <t>Abdurahmon</t>
        </is>
      </c>
      <c r="E84" s="6" t="inlineStr">
        <is>
          <t>chiqim</t>
        </is>
      </c>
      <c r="F84" s="6" t="inlineStr">
        <is>
          <t>UZS</t>
        </is>
      </c>
      <c r="G84" s="7" t="n">
        <v>750000</v>
      </c>
      <c r="H84" s="8" t="n">
        <v>12120</v>
      </c>
      <c r="I84" s="8" t="n">
        <v>750000</v>
      </c>
      <c r="J84" s="8" t="n">
        <v>61.88118811881188</v>
      </c>
      <c r="K84" s="6" t="inlineStr">
        <is>
          <t>Telegram orqali chiqim</t>
        </is>
      </c>
      <c r="L84" s="6" t="inlineStr">
        <is>
          <t>@Zapchast_2121</t>
        </is>
      </c>
      <c r="M84" s="6" t="inlineStr">
        <is>
          <t>chiqim UZS 750 000 Abdurahmon</t>
        </is>
      </c>
      <c r="N84" s="6" t="inlineStr">
        <is>
          <t>matn</t>
        </is>
      </c>
    </row>
    <row r="85">
      <c r="A85" s="5" t="inlineStr">
        <is>
          <t>2026-04-20</t>
        </is>
      </c>
      <c r="B85" s="5" t="inlineStr">
        <is>
          <t>17:42:07</t>
        </is>
      </c>
      <c r="C85" s="6" t="n">
        <v>2</v>
      </c>
      <c r="D85" s="6" t="inlineStr">
        <is>
          <t>Yuksalish</t>
        </is>
      </c>
      <c r="E85" s="6" t="inlineStr">
        <is>
          <t>chiqim</t>
        </is>
      </c>
      <c r="F85" s="6" t="inlineStr">
        <is>
          <t>UZS</t>
        </is>
      </c>
      <c r="G85" s="7" t="n">
        <v>900000</v>
      </c>
      <c r="H85" s="8" t="n">
        <v>12120</v>
      </c>
      <c r="I85" s="8" t="n">
        <v>900000</v>
      </c>
      <c r="J85" s="8" t="n">
        <v>74.25742574257426</v>
      </c>
      <c r="K85" s="6" t="inlineStr">
        <is>
          <t>Telegram orqali chiqim</t>
        </is>
      </c>
      <c r="L85" s="6" t="inlineStr">
        <is>
          <t>@Zapchast_2121</t>
        </is>
      </c>
      <c r="M85" s="6" t="inlineStr">
        <is>
          <t>chiqim UZS 900 000 Yuksalish</t>
        </is>
      </c>
      <c r="N85" s="6" t="inlineStr">
        <is>
          <t>matn</t>
        </is>
      </c>
    </row>
    <row r="86">
      <c r="A86" s="5" t="inlineStr">
        <is>
          <t>2026-04-20</t>
        </is>
      </c>
      <c r="B86" s="5" t="inlineStr">
        <is>
          <t>17:42:42</t>
        </is>
      </c>
      <c r="C86" s="6" t="n">
        <v>2</v>
      </c>
      <c r="D86" s="6" t="inlineStr">
        <is>
          <t>Yuksalish</t>
        </is>
      </c>
      <c r="E86" s="6" t="inlineStr">
        <is>
          <t>chiqim</t>
        </is>
      </c>
      <c r="F86" s="6" t="inlineStr">
        <is>
          <t>USD</t>
        </is>
      </c>
      <c r="G86" s="7" t="n">
        <v>70</v>
      </c>
      <c r="H86" s="8" t="n">
        <v>12120</v>
      </c>
      <c r="I86" s="8" t="n">
        <v>848400</v>
      </c>
      <c r="J86" s="8" t="n">
        <v>70</v>
      </c>
      <c r="K86" s="6" t="inlineStr">
        <is>
          <t>Telegram orqali chiqim</t>
        </is>
      </c>
      <c r="L86" s="6" t="inlineStr">
        <is>
          <t>@Zapchast_2121</t>
        </is>
      </c>
      <c r="M86" s="6" t="inlineStr">
        <is>
          <t>chiqim USD 70 Yuksalish</t>
        </is>
      </c>
      <c r="N86" s="6" t="inlineStr">
        <is>
          <t>matn</t>
        </is>
      </c>
    </row>
    <row r="87">
      <c r="A87" s="5" t="inlineStr">
        <is>
          <t>2026-04-22</t>
        </is>
      </c>
      <c r="B87" s="5" t="inlineStr">
        <is>
          <t>18:06:25</t>
        </is>
      </c>
      <c r="C87" s="6" t="n">
        <v>22</v>
      </c>
      <c r="D87" s="6" t="inlineStr">
        <is>
          <t>Abdumalik A Bal</t>
        </is>
      </c>
      <c r="E87" s="6" t="inlineStr">
        <is>
          <t>chiqim</t>
        </is>
      </c>
      <c r="F87" s="6" t="inlineStr">
        <is>
          <t>USD</t>
        </is>
      </c>
      <c r="G87" s="7" t="n">
        <v>6</v>
      </c>
      <c r="H87" s="8" t="n">
        <v>12080</v>
      </c>
      <c r="I87" s="8" t="n">
        <v>72480</v>
      </c>
      <c r="J87" s="8" t="n">
        <v>6</v>
      </c>
      <c r="K87" s="6" t="inlineStr">
        <is>
          <t>Telegram orqali chiqim</t>
        </is>
      </c>
      <c r="L87" s="6" t="inlineStr">
        <is>
          <t>@Zapchast_2121</t>
        </is>
      </c>
      <c r="M87" s="6" t="inlineStr">
        <is>
          <t>chiqim USD 6 Abdumalik A Bal</t>
        </is>
      </c>
      <c r="N87" s="6" t="inlineStr">
        <is>
          <t>matn</t>
        </is>
      </c>
    </row>
    <row r="88">
      <c r="A88" s="5" t="inlineStr">
        <is>
          <t>2026-04-22</t>
        </is>
      </c>
      <c r="B88" s="5" t="inlineStr">
        <is>
          <t>18:07:32</t>
        </is>
      </c>
      <c r="C88" s="6" t="n">
        <v>7</v>
      </c>
      <c r="D88" s="6" t="inlineStr">
        <is>
          <t>Feruz Apa</t>
        </is>
      </c>
      <c r="E88" s="6" t="inlineStr">
        <is>
          <t>chiqim</t>
        </is>
      </c>
      <c r="F88" s="6" t="inlineStr">
        <is>
          <t>UZS</t>
        </is>
      </c>
      <c r="G88" s="7" t="n">
        <v>804000</v>
      </c>
      <c r="H88" s="8" t="n">
        <v>12080</v>
      </c>
      <c r="I88" s="8" t="n">
        <v>804000</v>
      </c>
      <c r="J88" s="8" t="n">
        <v>66.55629139072848</v>
      </c>
      <c r="K88" s="6" t="inlineStr">
        <is>
          <t>Telegram orqali chiqim</t>
        </is>
      </c>
      <c r="L88" s="6" t="inlineStr">
        <is>
          <t>@Zapchast_2121</t>
        </is>
      </c>
      <c r="M88" s="6" t="inlineStr">
        <is>
          <t>chiqim UZS 804 000 Feruz Apa</t>
        </is>
      </c>
      <c r="N88" s="6" t="inlineStr">
        <is>
          <t>matn</t>
        </is>
      </c>
    </row>
    <row r="89">
      <c r="A89" s="5" t="inlineStr">
        <is>
          <t>2026-04-22</t>
        </is>
      </c>
      <c r="B89" s="5" t="inlineStr">
        <is>
          <t>18:07:49</t>
        </is>
      </c>
      <c r="C89" s="6" t="n">
        <v>7</v>
      </c>
      <c r="D89" s="6" t="inlineStr">
        <is>
          <t>Feruz Apa</t>
        </is>
      </c>
      <c r="E89" s="6" t="inlineStr">
        <is>
          <t>chiqim</t>
        </is>
      </c>
      <c r="F89" s="6" t="inlineStr">
        <is>
          <t>USD</t>
        </is>
      </c>
      <c r="G89" s="7" t="n">
        <v>28.6</v>
      </c>
      <c r="H89" s="8" t="n">
        <v>12080</v>
      </c>
      <c r="I89" s="8" t="n">
        <v>345488</v>
      </c>
      <c r="J89" s="8" t="n">
        <v>28.6</v>
      </c>
      <c r="K89" s="6" t="inlineStr">
        <is>
          <t>Telegram orqali chiqim</t>
        </is>
      </c>
      <c r="L89" s="6" t="inlineStr">
        <is>
          <t>@Zapchast_2121</t>
        </is>
      </c>
      <c r="M89" s="6" t="inlineStr">
        <is>
          <t>chiqim USD 28.6 Feruz Apa</t>
        </is>
      </c>
      <c r="N89" s="6" t="inlineStr">
        <is>
          <t>matn</t>
        </is>
      </c>
    </row>
    <row r="90">
      <c r="A90" s="5" t="inlineStr">
        <is>
          <t>2026-04-25</t>
        </is>
      </c>
      <c r="B90" s="5" t="inlineStr">
        <is>
          <t>17:16:27</t>
        </is>
      </c>
      <c r="C90" s="6" t="n">
        <v>11</v>
      </c>
      <c r="D90" s="6" t="inlineStr">
        <is>
          <t>Murotjon</t>
        </is>
      </c>
      <c r="E90" s="6" t="inlineStr">
        <is>
          <t>kirim</t>
        </is>
      </c>
      <c r="F90" s="6" t="inlineStr">
        <is>
          <t>UZS</t>
        </is>
      </c>
      <c r="G90" s="7" t="n">
        <v>500000</v>
      </c>
      <c r="H90" s="8" t="n">
        <v>12050</v>
      </c>
      <c r="I90" s="8" t="n">
        <v>500000</v>
      </c>
      <c r="J90" s="8" t="n">
        <v>41.49377593360996</v>
      </c>
      <c r="K90" s="6" t="inlineStr">
        <is>
          <t>Telegram orqali kirim</t>
        </is>
      </c>
      <c r="L90" s="6" t="inlineStr">
        <is>
          <t>@Zapchast_2121</t>
        </is>
      </c>
      <c r="M90" s="6" t="inlineStr">
        <is>
          <t>kirim UZS 500 000 Murotjon</t>
        </is>
      </c>
      <c r="N90" s="6" t="inlineStr">
        <is>
          <t>matn</t>
        </is>
      </c>
    </row>
    <row r="91">
      <c r="A91" s="5" t="inlineStr">
        <is>
          <t>2026-04-26</t>
        </is>
      </c>
      <c r="B91" s="5" t="inlineStr">
        <is>
          <t>09:02:57</t>
        </is>
      </c>
      <c r="C91" s="6" t="n">
        <v>16</v>
      </c>
      <c r="D91" s="6" t="inlineStr">
        <is>
          <t>Dildor Apa</t>
        </is>
      </c>
      <c r="E91" s="6" t="inlineStr">
        <is>
          <t>chiqim</t>
        </is>
      </c>
      <c r="F91" s="6" t="inlineStr">
        <is>
          <t>UZS</t>
        </is>
      </c>
      <c r="G91" s="7" t="n">
        <v>940000</v>
      </c>
      <c r="H91" s="8" t="n">
        <v>12050</v>
      </c>
      <c r="I91" s="8" t="n">
        <v>940000</v>
      </c>
      <c r="J91" s="8" t="n">
        <v>78.00829875518673</v>
      </c>
      <c r="K91" s="6" t="inlineStr">
        <is>
          <t>Telegram orqali chiqim</t>
        </is>
      </c>
      <c r="L91" s="6" t="inlineStr">
        <is>
          <t>@Zapchast_2121</t>
        </is>
      </c>
      <c r="M91" s="6" t="inlineStr">
        <is>
          <t>chiqim UZS 940 000 Dildor Apa</t>
        </is>
      </c>
      <c r="N91" s="6" t="inlineStr">
        <is>
          <t>matn</t>
        </is>
      </c>
    </row>
    <row r="92">
      <c r="A92" s="5" t="inlineStr">
        <is>
          <t>2026-04-26</t>
        </is>
      </c>
      <c r="B92" s="5" t="inlineStr">
        <is>
          <t>09:04:20</t>
        </is>
      </c>
      <c r="C92" s="6" t="n">
        <v>16</v>
      </c>
      <c r="D92" s="6" t="inlineStr">
        <is>
          <t>Dildor Apa</t>
        </is>
      </c>
      <c r="E92" s="6" t="inlineStr">
        <is>
          <t>chiqim</t>
        </is>
      </c>
      <c r="F92" s="6" t="inlineStr">
        <is>
          <t>USD</t>
        </is>
      </c>
      <c r="G92" s="7" t="n">
        <v>340</v>
      </c>
      <c r="H92" s="8" t="n">
        <v>12050</v>
      </c>
      <c r="I92" s="8" t="n">
        <v>4097000</v>
      </c>
      <c r="J92" s="8" t="n">
        <v>340</v>
      </c>
      <c r="K92" s="6" t="inlineStr">
        <is>
          <t>Telegram orqali chiqim</t>
        </is>
      </c>
      <c r="L92" s="6" t="inlineStr">
        <is>
          <t>@Zapchast_2121</t>
        </is>
      </c>
      <c r="M92" s="6" t="inlineStr">
        <is>
          <t>chiqim USD 340 Dildor Apa</t>
        </is>
      </c>
      <c r="N92" s="6" t="inlineStr">
        <is>
          <t>matn</t>
        </is>
      </c>
    </row>
    <row r="93">
      <c r="A93" s="5" t="inlineStr">
        <is>
          <t>2026-04-26</t>
        </is>
      </c>
      <c r="B93" s="5" t="inlineStr">
        <is>
          <t>09:04:51</t>
        </is>
      </c>
      <c r="C93" s="6" t="n">
        <v>8</v>
      </c>
      <c r="D93" s="6" t="inlineStr">
        <is>
          <t>Abdurahmon</t>
        </is>
      </c>
      <c r="E93" s="6" t="inlineStr">
        <is>
          <t>chiqim</t>
        </is>
      </c>
      <c r="F93" s="6" t="inlineStr">
        <is>
          <t>UZS</t>
        </is>
      </c>
      <c r="G93" s="7" t="n">
        <v>1410000</v>
      </c>
      <c r="H93" s="8" t="n">
        <v>12050</v>
      </c>
      <c r="I93" s="8" t="n">
        <v>1410000</v>
      </c>
      <c r="J93" s="8" t="n">
        <v>117.0124481327801</v>
      </c>
      <c r="K93" s="6" t="inlineStr">
        <is>
          <t>Telegram orqali chiqim</t>
        </is>
      </c>
      <c r="L93" s="6" t="inlineStr">
        <is>
          <t>@Zapchast_2121</t>
        </is>
      </c>
      <c r="M93" s="6" t="inlineStr">
        <is>
          <t>chiqim UZS 1 410 000 Abdurahmon</t>
        </is>
      </c>
      <c r="N93" s="6" t="inlineStr">
        <is>
          <t>matn</t>
        </is>
      </c>
    </row>
    <row r="94">
      <c r="A94" s="5" t="inlineStr">
        <is>
          <t>2026-04-26</t>
        </is>
      </c>
      <c r="B94" s="5" t="inlineStr">
        <is>
          <t>09:05:15</t>
        </is>
      </c>
      <c r="C94" s="6" t="n">
        <v>26</v>
      </c>
      <c r="D94" s="6" t="inlineStr">
        <is>
          <t>Avaz Aka Marg'ilon</t>
        </is>
      </c>
      <c r="E94" s="6" t="inlineStr">
        <is>
          <t>chiqim</t>
        </is>
      </c>
      <c r="F94" s="6" t="inlineStr">
        <is>
          <t>USD</t>
        </is>
      </c>
      <c r="G94" s="7" t="n">
        <v>170</v>
      </c>
      <c r="H94" s="8" t="n">
        <v>12050</v>
      </c>
      <c r="I94" s="8" t="n">
        <v>2048500</v>
      </c>
      <c r="J94" s="8" t="n">
        <v>170</v>
      </c>
      <c r="K94" s="6" t="inlineStr">
        <is>
          <t>Telegram orqali chiqim</t>
        </is>
      </c>
      <c r="L94" s="6" t="inlineStr">
        <is>
          <t>@Zapchast_2121</t>
        </is>
      </c>
      <c r="M94" s="6" t="inlineStr">
        <is>
          <t>chiqim USD 170 Avaz Aka Marg'ilon</t>
        </is>
      </c>
      <c r="N94" s="6" t="inlineStr">
        <is>
          <t>matn</t>
        </is>
      </c>
    </row>
    <row r="95">
      <c r="A95" s="5" t="inlineStr">
        <is>
          <t>2026-04-26</t>
        </is>
      </c>
      <c r="B95" s="5" t="inlineStr">
        <is>
          <t>17:23:46</t>
        </is>
      </c>
      <c r="C95" s="6" t="n">
        <v>22</v>
      </c>
      <c r="D95" s="6" t="inlineStr">
        <is>
          <t>Abdumalik A Bal</t>
        </is>
      </c>
      <c r="E95" s="6" t="inlineStr">
        <is>
          <t>chiqim</t>
        </is>
      </c>
      <c r="F95" s="6" t="inlineStr">
        <is>
          <t>UZS</t>
        </is>
      </c>
      <c r="G95" s="7" t="n">
        <v>50000</v>
      </c>
      <c r="H95" s="8" t="n">
        <v>12050</v>
      </c>
      <c r="I95" s="8" t="n">
        <v>50000</v>
      </c>
      <c r="J95" s="8" t="n">
        <v>4.149377593360996</v>
      </c>
      <c r="K95" s="6" t="inlineStr">
        <is>
          <t>Telegram orqali chiqim</t>
        </is>
      </c>
      <c r="L95" s="6" t="inlineStr">
        <is>
          <t>@Zapchast_2121</t>
        </is>
      </c>
      <c r="M95" s="6" t="inlineStr">
        <is>
          <t>chiqim UZS 50 000 Abdumalik A Bal</t>
        </is>
      </c>
      <c r="N95" s="6" t="inlineStr">
        <is>
          <t>matn</t>
        </is>
      </c>
    </row>
    <row r="96">
      <c r="A96" s="5" t="inlineStr">
        <is>
          <t>2026-04-26</t>
        </is>
      </c>
      <c r="B96" s="5" t="inlineStr">
        <is>
          <t>17:33:36</t>
        </is>
      </c>
      <c r="C96" s="6" t="n">
        <v>23</v>
      </c>
      <c r="D96" s="6" t="inlineStr">
        <is>
          <t>Abdumalik A 2323</t>
        </is>
      </c>
      <c r="E96" s="6" t="inlineStr">
        <is>
          <t>chiqim</t>
        </is>
      </c>
      <c r="F96" s="6" t="inlineStr">
        <is>
          <t>USD</t>
        </is>
      </c>
      <c r="G96" s="7" t="n">
        <v>25</v>
      </c>
      <c r="H96" s="8" t="n">
        <v>12050</v>
      </c>
      <c r="I96" s="8" t="n">
        <v>301250</v>
      </c>
      <c r="J96" s="8" t="n">
        <v>25</v>
      </c>
      <c r="K96" s="6" t="inlineStr">
        <is>
          <t>Telegram orqali chiqim</t>
        </is>
      </c>
      <c r="L96" s="6" t="inlineStr">
        <is>
          <t>@Zapchast_2121</t>
        </is>
      </c>
      <c r="M96" s="6" t="inlineStr">
        <is>
          <t>chiqim USD 25 Abdumalik A 2323</t>
        </is>
      </c>
      <c r="N96" s="6" t="inlineStr">
        <is>
          <t>matn</t>
        </is>
      </c>
    </row>
    <row r="97">
      <c r="A97" s="5" t="inlineStr">
        <is>
          <t>2026-04-28</t>
        </is>
      </c>
      <c r="B97" s="5" t="inlineStr">
        <is>
          <t>17:19:51</t>
        </is>
      </c>
      <c r="C97" s="6" t="n">
        <v>19</v>
      </c>
      <c r="D97" s="6" t="inlineStr">
        <is>
          <t>Ilxom Aka 0083</t>
        </is>
      </c>
      <c r="E97" s="6" t="inlineStr">
        <is>
          <t>chiqim</t>
        </is>
      </c>
      <c r="F97" s="6" t="inlineStr">
        <is>
          <t>UZS</t>
        </is>
      </c>
      <c r="G97" s="7" t="n">
        <v>1686000</v>
      </c>
      <c r="H97" s="8" t="n">
        <v>12100</v>
      </c>
      <c r="I97" s="8" t="n">
        <v>1686000</v>
      </c>
      <c r="J97" s="8" t="n">
        <v>139.3388429752066</v>
      </c>
      <c r="K97" s="6" t="inlineStr">
        <is>
          <t>Telegram orqali chiqim</t>
        </is>
      </c>
      <c r="L97" s="6" t="inlineStr">
        <is>
          <t>@Zapchast_2121</t>
        </is>
      </c>
      <c r="M97" s="6" t="inlineStr">
        <is>
          <t>chiqim UZS 1 686 000 Ilxom Aka 0083</t>
        </is>
      </c>
      <c r="N97" s="6" t="inlineStr">
        <is>
          <t>matn</t>
        </is>
      </c>
    </row>
    <row r="98">
      <c r="A98" s="5" t="inlineStr">
        <is>
          <t>2026-04-28</t>
        </is>
      </c>
      <c r="B98" s="5" t="inlineStr">
        <is>
          <t>17:21:05</t>
        </is>
      </c>
      <c r="C98" s="6" t="n">
        <v>25</v>
      </c>
      <c r="D98" s="6" t="inlineStr">
        <is>
          <t>Umar Aka</t>
        </is>
      </c>
      <c r="E98" s="6" t="inlineStr">
        <is>
          <t>chiqim</t>
        </is>
      </c>
      <c r="F98" s="6" t="inlineStr">
        <is>
          <t>UZS</t>
        </is>
      </c>
      <c r="G98" s="7" t="n">
        <v>3200000</v>
      </c>
      <c r="H98" s="8" t="n">
        <v>12100</v>
      </c>
      <c r="I98" s="8" t="n">
        <v>3200000</v>
      </c>
      <c r="J98" s="8" t="n">
        <v>264.4628099173553</v>
      </c>
      <c r="K98" s="6" t="inlineStr">
        <is>
          <t>Telegram orqali chiqim</t>
        </is>
      </c>
      <c r="L98" s="6" t="inlineStr">
        <is>
          <t>@Zapchast_2121</t>
        </is>
      </c>
      <c r="M98" s="6" t="inlineStr">
        <is>
          <t>chiqim UZS 3 200 000 Umar Aka</t>
        </is>
      </c>
      <c r="N98" s="6" t="inlineStr">
        <is>
          <t>matn</t>
        </is>
      </c>
    </row>
    <row r="99">
      <c r="A99" s="5" t="inlineStr">
        <is>
          <t>2026-04-30</t>
        </is>
      </c>
      <c r="B99" s="5" t="inlineStr">
        <is>
          <t>15:06:06</t>
        </is>
      </c>
      <c r="C99" s="6" t="n">
        <v>16</v>
      </c>
      <c r="D99" s="6" t="inlineStr">
        <is>
          <t>Dildor Apa</t>
        </is>
      </c>
      <c r="E99" s="6" t="inlineStr">
        <is>
          <t>kirim</t>
        </is>
      </c>
      <c r="F99" s="6" t="inlineStr">
        <is>
          <t>UZS</t>
        </is>
      </c>
      <c r="G99" s="7" t="n">
        <v>5486920</v>
      </c>
      <c r="H99" s="8" t="n">
        <v>12000</v>
      </c>
      <c r="I99" s="8" t="n">
        <v>5486920</v>
      </c>
      <c r="J99" s="8" t="n">
        <v>457.2433333333333</v>
      </c>
      <c r="K99" s="6" t="inlineStr">
        <is>
          <t>Telegram orqali kirim</t>
        </is>
      </c>
      <c r="L99" s="6" t="inlineStr">
        <is>
          <t>@Zapchast_2121</t>
        </is>
      </c>
      <c r="M99" s="6" t="inlineStr">
        <is>
          <t>kirim UZS 5 486 920 Dildor Apa</t>
        </is>
      </c>
      <c r="N99" s="6" t="inlineStr">
        <is>
          <t>matn</t>
        </is>
      </c>
    </row>
    <row r="100">
      <c r="A100" s="5" t="inlineStr">
        <is>
          <t>2026-04-30</t>
        </is>
      </c>
      <c r="B100" s="5" t="inlineStr">
        <is>
          <t>17:41:18</t>
        </is>
      </c>
      <c r="C100" s="6" t="n">
        <v>25</v>
      </c>
      <c r="D100" s="6" t="inlineStr">
        <is>
          <t>Umar Aka</t>
        </is>
      </c>
      <c r="E100" s="6" t="inlineStr">
        <is>
          <t>chiqim</t>
        </is>
      </c>
      <c r="F100" s="6" t="inlineStr">
        <is>
          <t>USD</t>
        </is>
      </c>
      <c r="G100" s="7" t="n">
        <v>12</v>
      </c>
      <c r="H100" s="8" t="n">
        <v>12000</v>
      </c>
      <c r="I100" s="8" t="n">
        <v>144000</v>
      </c>
      <c r="J100" s="8" t="n">
        <v>12</v>
      </c>
      <c r="K100" s="6" t="inlineStr">
        <is>
          <t>Telegram orqali chiqim</t>
        </is>
      </c>
      <c r="L100" s="6" t="inlineStr">
        <is>
          <t>@Zapchast_2121</t>
        </is>
      </c>
      <c r="M100" s="6" t="inlineStr">
        <is>
          <t>chiqim USD 12 Umar Aka</t>
        </is>
      </c>
      <c r="N100" s="6" t="inlineStr">
        <is>
          <t>matn</t>
        </is>
      </c>
    </row>
    <row r="101">
      <c r="A101" s="5" t="inlineStr">
        <is>
          <t>2026-05-01</t>
        </is>
      </c>
      <c r="B101" s="5" t="inlineStr">
        <is>
          <t>18:28:13</t>
        </is>
      </c>
      <c r="C101" s="6" t="n">
        <v>14</v>
      </c>
      <c r="D101" s="6" t="inlineStr">
        <is>
          <t>Alisher Aka Usta</t>
        </is>
      </c>
      <c r="E101" s="6" t="inlineStr">
        <is>
          <t>chiqim</t>
        </is>
      </c>
      <c r="F101" s="6" t="inlineStr">
        <is>
          <t>USD</t>
        </is>
      </c>
      <c r="G101" s="7" t="n">
        <v>66.59999999999999</v>
      </c>
      <c r="H101" s="8" t="n">
        <v>11990</v>
      </c>
      <c r="I101" s="8" t="n">
        <v>798533.9999999999</v>
      </c>
      <c r="J101" s="8" t="n">
        <v>66.59999999999999</v>
      </c>
      <c r="K101" s="6" t="inlineStr">
        <is>
          <t>Telegram orqali chiqim</t>
        </is>
      </c>
      <c r="L101" s="6" t="inlineStr">
        <is>
          <t>@Zapchast_2121</t>
        </is>
      </c>
      <c r="M101" s="6" t="inlineStr">
        <is>
          <t>chiqim USD 66.6 Alisher Aka Usta</t>
        </is>
      </c>
      <c r="N101" s="6" t="inlineStr">
        <is>
          <t>matn</t>
        </is>
      </c>
    </row>
    <row r="102">
      <c r="A102" s="5" t="inlineStr">
        <is>
          <t>2026-05-03</t>
        </is>
      </c>
      <c r="B102" s="5" t="inlineStr">
        <is>
          <t>10:40:16</t>
        </is>
      </c>
      <c r="C102" s="6" t="n">
        <v>25</v>
      </c>
      <c r="D102" s="6" t="inlineStr">
        <is>
          <t>Umar Aka</t>
        </is>
      </c>
      <c r="E102" s="6" t="inlineStr">
        <is>
          <t>chiqim</t>
        </is>
      </c>
      <c r="F102" s="6" t="inlineStr">
        <is>
          <t>USD</t>
        </is>
      </c>
      <c r="G102" s="7" t="n">
        <v>15</v>
      </c>
      <c r="H102" s="8" t="n">
        <v>11990</v>
      </c>
      <c r="I102" s="8" t="n">
        <v>179850</v>
      </c>
      <c r="J102" s="8" t="n">
        <v>15</v>
      </c>
      <c r="K102" s="6" t="inlineStr">
        <is>
          <t>Telegram orqali chiqim</t>
        </is>
      </c>
      <c r="L102" s="6" t="inlineStr">
        <is>
          <t>@Zapchast_2121</t>
        </is>
      </c>
      <c r="M102" s="6" t="inlineStr">
        <is>
          <t>chiqim USD 15 Umar Aka</t>
        </is>
      </c>
      <c r="N102" s="6" t="inlineStr">
        <is>
          <t>matn</t>
        </is>
      </c>
    </row>
    <row r="103">
      <c r="A103" s="5" t="inlineStr">
        <is>
          <t>2026-05-03</t>
        </is>
      </c>
      <c r="B103" s="5" t="inlineStr">
        <is>
          <t>15:00:36</t>
        </is>
      </c>
      <c r="C103" s="6" t="n">
        <v>14</v>
      </c>
      <c r="D103" s="6" t="inlineStr">
        <is>
          <t>Alisher Aka Usta</t>
        </is>
      </c>
      <c r="E103" s="6" t="inlineStr">
        <is>
          <t>kirim</t>
        </is>
      </c>
      <c r="F103" s="6" t="inlineStr">
        <is>
          <t>USD</t>
        </is>
      </c>
      <c r="G103" s="7" t="n">
        <v>66.59999999999999</v>
      </c>
      <c r="H103" s="8" t="n">
        <v>11990</v>
      </c>
      <c r="I103" s="8" t="n">
        <v>798533.9999999999</v>
      </c>
      <c r="J103" s="8" t="n">
        <v>66.59999999999999</v>
      </c>
      <c r="K103" s="6" t="inlineStr">
        <is>
          <t>Telegram orqali kirim</t>
        </is>
      </c>
      <c r="L103" s="6" t="inlineStr">
        <is>
          <t>@Zapchast_2121</t>
        </is>
      </c>
      <c r="M103" s="6" t="inlineStr">
        <is>
          <t>kirim USD 66.6 Alisher Aka Usta</t>
        </is>
      </c>
      <c r="N103" s="6" t="inlineStr">
        <is>
          <t>matn</t>
        </is>
      </c>
    </row>
    <row r="104">
      <c r="A104" s="5" t="inlineStr">
        <is>
          <t>2026-05-03</t>
        </is>
      </c>
      <c r="B104" s="5" t="inlineStr">
        <is>
          <t>17:41:48</t>
        </is>
      </c>
      <c r="C104" s="6" t="n">
        <v>2</v>
      </c>
      <c r="D104" s="6" t="inlineStr">
        <is>
          <t>Yuksalish</t>
        </is>
      </c>
      <c r="E104" s="6" t="inlineStr">
        <is>
          <t>chiqim</t>
        </is>
      </c>
      <c r="F104" s="6" t="inlineStr">
        <is>
          <t>UZS</t>
        </is>
      </c>
      <c r="G104" s="7" t="n">
        <v>3750000</v>
      </c>
      <c r="H104" s="8" t="n">
        <v>11998</v>
      </c>
      <c r="I104" s="8" t="n">
        <v>3750000</v>
      </c>
      <c r="J104" s="8" t="n">
        <v>312.5520920153359</v>
      </c>
      <c r="K104" s="6" t="inlineStr">
        <is>
          <t>Telegram orqali chiqim</t>
        </is>
      </c>
      <c r="L104" s="6" t="inlineStr">
        <is>
          <t>@Zapchast_2121</t>
        </is>
      </c>
      <c r="M104" s="6" t="inlineStr">
        <is>
          <t>chiqim UZS 3 750 000 Yuksalish</t>
        </is>
      </c>
      <c r="N104" s="6" t="inlineStr">
        <is>
          <t>matn</t>
        </is>
      </c>
    </row>
    <row r="105">
      <c r="A105" s="5" t="inlineStr">
        <is>
          <t>2026-05-05</t>
        </is>
      </c>
      <c r="B105" s="5" t="inlineStr">
        <is>
          <t>16:33:26</t>
        </is>
      </c>
      <c r="C105" s="6" t="n">
        <v>2</v>
      </c>
      <c r="D105" s="6" t="inlineStr">
        <is>
          <t>Yuksalish</t>
        </is>
      </c>
      <c r="E105" s="6" t="inlineStr">
        <is>
          <t>chiqim</t>
        </is>
      </c>
      <c r="F105" s="6" t="inlineStr">
        <is>
          <t>USD</t>
        </is>
      </c>
      <c r="G105" s="7" t="n">
        <v>165</v>
      </c>
      <c r="H105" s="8" t="n">
        <v>12030</v>
      </c>
      <c r="I105" s="8" t="n">
        <v>1984950</v>
      </c>
      <c r="J105" s="8" t="n">
        <v>165</v>
      </c>
      <c r="K105" s="6" t="inlineStr">
        <is>
          <t>Telegram orqali chiqim</t>
        </is>
      </c>
      <c r="L105" s="6" t="inlineStr">
        <is>
          <t>@Zapchast_2121</t>
        </is>
      </c>
      <c r="M105" s="6" t="inlineStr">
        <is>
          <t>chiqim USD 165 Yuksalish</t>
        </is>
      </c>
      <c r="N105" s="6" t="inlineStr">
        <is>
          <t>matn</t>
        </is>
      </c>
    </row>
    <row r="106">
      <c r="A106" s="5" t="inlineStr">
        <is>
          <t>2026-05-06</t>
        </is>
      </c>
      <c r="B106" s="5" t="inlineStr">
        <is>
          <t>17:19:39</t>
        </is>
      </c>
      <c r="C106" s="6" t="n">
        <v>12</v>
      </c>
      <c r="D106" s="6" t="inlineStr">
        <is>
          <t>Islomxon Usta eski</t>
        </is>
      </c>
      <c r="E106" s="6" t="inlineStr">
        <is>
          <t>chiqim</t>
        </is>
      </c>
      <c r="F106" s="6" t="inlineStr">
        <is>
          <t>UZS</t>
        </is>
      </c>
      <c r="G106" s="7" t="n">
        <v>240000</v>
      </c>
      <c r="H106" s="8" t="n">
        <v>12080</v>
      </c>
      <c r="I106" s="8" t="n">
        <v>240000</v>
      </c>
      <c r="J106" s="8" t="n">
        <v>19.86754966887417</v>
      </c>
      <c r="K106" s="6" t="inlineStr">
        <is>
          <t>Telegram orqali chiqim</t>
        </is>
      </c>
      <c r="L106" s="6" t="inlineStr">
        <is>
          <t>@Zapchast_2121</t>
        </is>
      </c>
      <c r="M106" s="6" t="inlineStr">
        <is>
          <t>chiqim UZS 240 000 Islomxon Usta eski</t>
        </is>
      </c>
      <c r="N106" s="6" t="inlineStr">
        <is>
          <t>matn</t>
        </is>
      </c>
    </row>
    <row r="107">
      <c r="A107" s="5" t="inlineStr">
        <is>
          <t>2026-05-06</t>
        </is>
      </c>
      <c r="B107" s="5" t="inlineStr">
        <is>
          <t>17:19:47</t>
        </is>
      </c>
      <c r="C107" s="6" t="n">
        <v>12</v>
      </c>
      <c r="D107" s="6" t="inlineStr">
        <is>
          <t>Islomxon Usta eski</t>
        </is>
      </c>
      <c r="E107" s="6" t="inlineStr">
        <is>
          <t>chiqim</t>
        </is>
      </c>
      <c r="F107" s="6" t="inlineStr">
        <is>
          <t>USD</t>
        </is>
      </c>
      <c r="G107" s="7" t="n">
        <v>75</v>
      </c>
      <c r="H107" s="8" t="n">
        <v>12080</v>
      </c>
      <c r="I107" s="8" t="n">
        <v>906000</v>
      </c>
      <c r="J107" s="8" t="n">
        <v>75</v>
      </c>
      <c r="K107" s="6" t="inlineStr">
        <is>
          <t>Telegram orqali chiqim</t>
        </is>
      </c>
      <c r="L107" s="6" t="inlineStr">
        <is>
          <t>@Zapchast_2121</t>
        </is>
      </c>
      <c r="M107" s="6" t="inlineStr">
        <is>
          <t>chiqim USD 75 Islomxon Usta eski</t>
        </is>
      </c>
      <c r="N107" s="6" t="inlineStr">
        <is>
          <t>matn</t>
        </is>
      </c>
    </row>
    <row r="108">
      <c r="A108" s="5" t="inlineStr">
        <is>
          <t>2026-05-06</t>
        </is>
      </c>
      <c r="B108" s="5" t="inlineStr">
        <is>
          <t>17:20:21</t>
        </is>
      </c>
      <c r="C108" s="6" t="n">
        <v>25</v>
      </c>
      <c r="D108" s="6" t="inlineStr">
        <is>
          <t>Umar Aka</t>
        </is>
      </c>
      <c r="E108" s="6" t="inlineStr">
        <is>
          <t>chiqim</t>
        </is>
      </c>
      <c r="F108" s="6" t="inlineStr">
        <is>
          <t>UZS</t>
        </is>
      </c>
      <c r="G108" s="7" t="n">
        <v>230000</v>
      </c>
      <c r="H108" s="8" t="n">
        <v>12080</v>
      </c>
      <c r="I108" s="8" t="n">
        <v>230000</v>
      </c>
      <c r="J108" s="8" t="n">
        <v>19.03973509933775</v>
      </c>
      <c r="K108" s="6" t="inlineStr">
        <is>
          <t>Telegram orqali chiqim</t>
        </is>
      </c>
      <c r="L108" s="6" t="inlineStr">
        <is>
          <t>@Zapchast_2121</t>
        </is>
      </c>
      <c r="M108" s="6" t="inlineStr">
        <is>
          <t>chiqim UZS 230 000 Umar Aka</t>
        </is>
      </c>
      <c r="N108" s="6" t="inlineStr">
        <is>
          <t>matn</t>
        </is>
      </c>
    </row>
    <row r="109">
      <c r="A109" s="5" t="inlineStr">
        <is>
          <t>2026-05-06</t>
        </is>
      </c>
      <c r="B109" s="5" t="inlineStr">
        <is>
          <t>17:20:34</t>
        </is>
      </c>
      <c r="C109" s="6" t="n">
        <v>25</v>
      </c>
      <c r="D109" s="6" t="inlineStr">
        <is>
          <t>Umar Aka</t>
        </is>
      </c>
      <c r="E109" s="6" t="inlineStr">
        <is>
          <t>chiqim</t>
        </is>
      </c>
      <c r="F109" s="6" t="inlineStr">
        <is>
          <t>USD</t>
        </is>
      </c>
      <c r="G109" s="7" t="n">
        <v>90</v>
      </c>
      <c r="H109" s="8" t="n">
        <v>12080</v>
      </c>
      <c r="I109" s="8" t="n">
        <v>1087200</v>
      </c>
      <c r="J109" s="8" t="n">
        <v>90</v>
      </c>
      <c r="K109" s="6" t="inlineStr">
        <is>
          <t>Telegram orqali chiqim</t>
        </is>
      </c>
      <c r="L109" s="6" t="inlineStr">
        <is>
          <t>@Zapchast_2121</t>
        </is>
      </c>
      <c r="M109" s="6" t="inlineStr">
        <is>
          <t>chiqim USD 90 Umar Aka</t>
        </is>
      </c>
      <c r="N109" s="6" t="inlineStr">
        <is>
          <t>matn</t>
        </is>
      </c>
    </row>
    <row r="110">
      <c r="A110" s="5" t="inlineStr">
        <is>
          <t>2026-05-07</t>
        </is>
      </c>
      <c r="B110" s="5" t="inlineStr">
        <is>
          <t>16:07:07</t>
        </is>
      </c>
      <c r="C110" s="6" t="n">
        <v>12</v>
      </c>
      <c r="D110" s="6" t="inlineStr">
        <is>
          <t>Islomxon Usta eski</t>
        </is>
      </c>
      <c r="E110" s="6" t="inlineStr">
        <is>
          <t>chiqim</t>
        </is>
      </c>
      <c r="F110" s="6" t="inlineStr">
        <is>
          <t>UZS</t>
        </is>
      </c>
      <c r="G110" s="7" t="n">
        <v>520000</v>
      </c>
      <c r="H110" s="8" t="n">
        <v>12110</v>
      </c>
      <c r="I110" s="8" t="n">
        <v>520000</v>
      </c>
      <c r="J110" s="8" t="n">
        <v>42.93971924029727</v>
      </c>
      <c r="K110" s="6" t="inlineStr">
        <is>
          <t>Telegram orqali chiqim</t>
        </is>
      </c>
      <c r="L110" s="6" t="inlineStr">
        <is>
          <t>@Zapchast_2121</t>
        </is>
      </c>
      <c r="M110" s="6" t="inlineStr">
        <is>
          <t>chiqim UZS 520 000 Islomxon Usta eski</t>
        </is>
      </c>
      <c r="N110" s="6" t="inlineStr">
        <is>
          <t>matn</t>
        </is>
      </c>
    </row>
    <row r="111">
      <c r="A111" s="5" t="inlineStr">
        <is>
          <t>2026-05-07</t>
        </is>
      </c>
      <c r="B111" s="5" t="inlineStr">
        <is>
          <t>16:07:43</t>
        </is>
      </c>
      <c r="C111" s="6" t="n">
        <v>25</v>
      </c>
      <c r="D111" s="6" t="inlineStr">
        <is>
          <t>Umar Aka</t>
        </is>
      </c>
      <c r="E111" s="6" t="inlineStr">
        <is>
          <t>chiqim</t>
        </is>
      </c>
      <c r="F111" s="6" t="inlineStr">
        <is>
          <t>UZS</t>
        </is>
      </c>
      <c r="G111" s="7" t="n">
        <v>300000</v>
      </c>
      <c r="H111" s="8" t="n">
        <v>12110</v>
      </c>
      <c r="I111" s="8" t="n">
        <v>300000</v>
      </c>
      <c r="J111" s="8" t="n">
        <v>24.77291494632535</v>
      </c>
      <c r="K111" s="6" t="inlineStr">
        <is>
          <t>Telegram orqali chiqim</t>
        </is>
      </c>
      <c r="L111" s="6" t="inlineStr">
        <is>
          <t>@Zapchast_2121</t>
        </is>
      </c>
      <c r="M111" s="6" t="inlineStr">
        <is>
          <t>chiqim UZS 300 000 Umar Aka</t>
        </is>
      </c>
      <c r="N111" s="6" t="inlineStr">
        <is>
          <t>matn</t>
        </is>
      </c>
    </row>
    <row r="112">
      <c r="A112" s="5" t="inlineStr">
        <is>
          <t>2026-05-07</t>
        </is>
      </c>
      <c r="B112" s="5" t="inlineStr">
        <is>
          <t>16:08:41</t>
        </is>
      </c>
      <c r="C112" s="6" t="n">
        <v>19</v>
      </c>
      <c r="D112" s="6" t="inlineStr">
        <is>
          <t>Ilxom Aka 0083</t>
        </is>
      </c>
      <c r="E112" s="6" t="inlineStr">
        <is>
          <t>chiqim</t>
        </is>
      </c>
      <c r="F112" s="6" t="inlineStr">
        <is>
          <t>UZS</t>
        </is>
      </c>
      <c r="G112" s="7" t="n">
        <v>1089000</v>
      </c>
      <c r="H112" s="8" t="n">
        <v>12110</v>
      </c>
      <c r="I112" s="8" t="n">
        <v>1089000</v>
      </c>
      <c r="J112" s="8" t="n">
        <v>89.92568125516102</v>
      </c>
      <c r="K112" s="6" t="inlineStr">
        <is>
          <t>Telegram orqali chiqim</t>
        </is>
      </c>
      <c r="L112" s="6" t="inlineStr">
        <is>
          <t>@Zapchast_2121</t>
        </is>
      </c>
      <c r="M112" s="6" t="inlineStr">
        <is>
          <t>chiqim UZS 1 089 000 Ilxom Aka 0083</t>
        </is>
      </c>
      <c r="N112" s="6" t="inlineStr">
        <is>
          <t>matn</t>
        </is>
      </c>
    </row>
    <row r="113">
      <c r="A113" s="5" t="n"/>
      <c r="B113" s="5" t="n"/>
      <c r="C113" s="6" t="n"/>
      <c r="D113" s="6" t="n"/>
      <c r="E113" s="6" t="n"/>
      <c r="F113" s="6" t="n"/>
      <c r="G113" s="7" t="n"/>
      <c r="H113" s="8" t="n"/>
      <c r="I113" s="8" t="n"/>
      <c r="J113" s="8" t="n"/>
      <c r="K113" s="6" t="n"/>
      <c r="L113" s="6" t="n"/>
      <c r="M113" s="6" t="n"/>
      <c r="N113" s="6" t="n"/>
    </row>
    <row r="114">
      <c r="A114" s="5" t="n"/>
      <c r="B114" s="5" t="n"/>
      <c r="C114" s="6" t="n"/>
      <c r="D114" s="6" t="n"/>
      <c r="E114" s="6" t="n"/>
      <c r="F114" s="6" t="n"/>
      <c r="G114" s="7" t="n"/>
      <c r="H114" s="8" t="n"/>
      <c r="I114" s="8" t="n"/>
      <c r="J114" s="8" t="n"/>
      <c r="K114" s="6" t="n"/>
      <c r="L114" s="6" t="n"/>
      <c r="M114" s="6" t="n"/>
      <c r="N114" s="6" t="n"/>
    </row>
    <row r="115">
      <c r="A115" s="5" t="n"/>
      <c r="B115" s="5" t="n"/>
      <c r="C115" s="6" t="n"/>
      <c r="D115" s="6" t="n"/>
      <c r="E115" s="6" t="n"/>
      <c r="F115" s="6" t="n"/>
      <c r="G115" s="7" t="n"/>
      <c r="H115" s="8" t="n"/>
      <c r="I115" s="8" t="n"/>
      <c r="J115" s="8" t="n"/>
      <c r="K115" s="6" t="n"/>
      <c r="L115" s="6" t="n"/>
      <c r="M115" s="6" t="n"/>
      <c r="N115" s="6" t="n"/>
    </row>
    <row r="116">
      <c r="A116" s="5" t="n"/>
      <c r="B116" s="5" t="n"/>
      <c r="C116" s="6" t="n"/>
      <c r="D116" s="6" t="n"/>
      <c r="E116" s="6" t="n"/>
      <c r="F116" s="6" t="n"/>
      <c r="G116" s="7" t="n"/>
      <c r="H116" s="8" t="n"/>
      <c r="I116" s="8" t="n"/>
      <c r="J116" s="8" t="n"/>
      <c r="K116" s="6" t="n"/>
      <c r="L116" s="6" t="n"/>
      <c r="M116" s="6" t="n"/>
      <c r="N116" s="6" t="n"/>
    </row>
    <row r="117">
      <c r="A117" s="5" t="n"/>
      <c r="B117" s="5" t="n"/>
      <c r="C117" s="6" t="n"/>
      <c r="D117" s="6" t="n"/>
      <c r="E117" s="6" t="n"/>
      <c r="F117" s="6" t="n"/>
      <c r="G117" s="7" t="n"/>
      <c r="H117" s="8" t="n"/>
      <c r="I117" s="8" t="n"/>
      <c r="J117" s="8" t="n"/>
      <c r="K117" s="6" t="n"/>
      <c r="L117" s="6" t="n"/>
      <c r="M117" s="6" t="n"/>
      <c r="N117" s="6" t="n"/>
    </row>
    <row r="118">
      <c r="A118" s="5" t="n"/>
      <c r="B118" s="5" t="n"/>
      <c r="C118" s="6" t="n"/>
      <c r="D118" s="6" t="n"/>
      <c r="E118" s="6" t="n"/>
      <c r="F118" s="6" t="n"/>
      <c r="G118" s="7" t="n"/>
      <c r="H118" s="8" t="n"/>
      <c r="I118" s="8" t="n"/>
      <c r="J118" s="8" t="n"/>
      <c r="K118" s="6" t="n"/>
      <c r="L118" s="6" t="n"/>
      <c r="M118" s="6" t="n"/>
      <c r="N118" s="6" t="n"/>
    </row>
    <row r="119">
      <c r="A119" s="5" t="n"/>
      <c r="B119" s="5" t="n"/>
      <c r="C119" s="6" t="n"/>
      <c r="D119" s="6" t="n"/>
      <c r="E119" s="6" t="n"/>
      <c r="F119" s="6" t="n"/>
      <c r="G119" s="7" t="n"/>
      <c r="H119" s="8" t="n"/>
      <c r="I119" s="8" t="n"/>
      <c r="J119" s="8" t="n"/>
      <c r="K119" s="6" t="n"/>
      <c r="L119" s="6" t="n"/>
      <c r="M119" s="6" t="n"/>
      <c r="N119" s="6" t="n"/>
    </row>
    <row r="120">
      <c r="A120" s="5" t="n"/>
      <c r="B120" s="5" t="n"/>
      <c r="C120" s="6" t="n"/>
      <c r="D120" s="6" t="n"/>
      <c r="E120" s="6" t="n"/>
      <c r="F120" s="6" t="n"/>
      <c r="G120" s="7" t="n"/>
      <c r="H120" s="8" t="n"/>
      <c r="I120" s="8" t="n"/>
      <c r="J120" s="8" t="n"/>
      <c r="K120" s="6" t="n"/>
      <c r="L120" s="6" t="n"/>
      <c r="M120" s="6" t="n"/>
      <c r="N120" s="6" t="n"/>
    </row>
    <row r="121">
      <c r="A121" s="5" t="n"/>
      <c r="B121" s="5" t="n"/>
      <c r="C121" s="6" t="n"/>
      <c r="D121" s="6" t="n"/>
      <c r="E121" s="6" t="n"/>
      <c r="F121" s="6" t="n"/>
      <c r="G121" s="7" t="n"/>
      <c r="H121" s="8" t="n"/>
      <c r="I121" s="8" t="n"/>
      <c r="J121" s="8" t="n"/>
      <c r="K121" s="6" t="n"/>
      <c r="L121" s="6" t="n"/>
      <c r="M121" s="6" t="n"/>
      <c r="N121" s="6" t="n"/>
    </row>
    <row r="122">
      <c r="A122" s="5" t="n"/>
      <c r="B122" s="5" t="n"/>
      <c r="C122" s="6" t="n"/>
      <c r="D122" s="6" t="n"/>
      <c r="E122" s="6" t="n"/>
      <c r="F122" s="6" t="n"/>
      <c r="G122" s="7" t="n"/>
      <c r="H122" s="8" t="n"/>
      <c r="I122" s="8" t="n"/>
      <c r="J122" s="8" t="n"/>
      <c r="K122" s="6" t="n"/>
      <c r="L122" s="6" t="n"/>
      <c r="M122" s="6" t="n"/>
      <c r="N122" s="6" t="n"/>
    </row>
    <row r="123">
      <c r="A123" s="5" t="n"/>
      <c r="B123" s="5" t="n"/>
      <c r="C123" s="6" t="n"/>
      <c r="D123" s="6" t="n"/>
      <c r="E123" s="6" t="n"/>
      <c r="F123" s="6" t="n"/>
      <c r="G123" s="7" t="n"/>
      <c r="H123" s="8" t="n"/>
      <c r="I123" s="8" t="n"/>
      <c r="J123" s="8" t="n"/>
      <c r="K123" s="6" t="n"/>
      <c r="L123" s="6" t="n"/>
      <c r="M123" s="6" t="n"/>
      <c r="N123" s="6" t="n"/>
    </row>
    <row r="124">
      <c r="A124" s="5" t="n"/>
      <c r="B124" s="5" t="n"/>
      <c r="C124" s="6" t="n"/>
      <c r="D124" s="6" t="n"/>
      <c r="E124" s="6" t="n"/>
      <c r="F124" s="6" t="n"/>
      <c r="G124" s="7" t="n"/>
      <c r="H124" s="8" t="n"/>
      <c r="I124" s="8" t="n"/>
      <c r="J124" s="8" t="n"/>
      <c r="K124" s="6" t="n"/>
      <c r="L124" s="6" t="n"/>
      <c r="M124" s="6" t="n"/>
      <c r="N124" s="6" t="n"/>
    </row>
    <row r="125">
      <c r="A125" s="5" t="n"/>
      <c r="B125" s="5" t="n"/>
      <c r="C125" s="6" t="n"/>
      <c r="D125" s="6" t="n"/>
      <c r="E125" s="6" t="n"/>
      <c r="F125" s="6" t="n"/>
      <c r="G125" s="7" t="n"/>
      <c r="H125" s="8" t="n"/>
      <c r="I125" s="8" t="n"/>
      <c r="J125" s="8" t="n"/>
      <c r="K125" s="6" t="n"/>
      <c r="L125" s="6" t="n"/>
      <c r="M125" s="6" t="n"/>
      <c r="N125" s="6" t="n"/>
    </row>
    <row r="126">
      <c r="A126" s="5" t="n"/>
      <c r="B126" s="5" t="n"/>
      <c r="C126" s="6" t="n"/>
      <c r="D126" s="6" t="n"/>
      <c r="E126" s="6" t="n"/>
      <c r="F126" s="6" t="n"/>
      <c r="G126" s="7" t="n"/>
      <c r="H126" s="8" t="n"/>
      <c r="I126" s="8" t="n"/>
      <c r="J126" s="8" t="n"/>
      <c r="K126" s="6" t="n"/>
      <c r="L126" s="6" t="n"/>
      <c r="M126" s="6" t="n"/>
      <c r="N126" s="6" t="n"/>
    </row>
    <row r="127">
      <c r="A127" s="5" t="n"/>
      <c r="B127" s="5" t="n"/>
      <c r="C127" s="6" t="n"/>
      <c r="D127" s="6" t="n"/>
      <c r="E127" s="6" t="n"/>
      <c r="F127" s="6" t="n"/>
      <c r="G127" s="7" t="n"/>
      <c r="H127" s="8" t="n"/>
      <c r="I127" s="8" t="n"/>
      <c r="J127" s="8" t="n"/>
      <c r="K127" s="6" t="n"/>
      <c r="L127" s="6" t="n"/>
      <c r="M127" s="6" t="n"/>
      <c r="N127" s="6" t="n"/>
    </row>
    <row r="128">
      <c r="A128" s="5" t="n"/>
      <c r="B128" s="5" t="n"/>
      <c r="C128" s="6" t="n"/>
      <c r="D128" s="6" t="n"/>
      <c r="E128" s="6" t="n"/>
      <c r="F128" s="6" t="n"/>
      <c r="G128" s="7" t="n"/>
      <c r="H128" s="8" t="n"/>
      <c r="I128" s="8" t="n"/>
      <c r="J128" s="8" t="n"/>
      <c r="K128" s="6" t="n"/>
      <c r="L128" s="6" t="n"/>
      <c r="M128" s="6" t="n"/>
      <c r="N128" s="6" t="n"/>
    </row>
    <row r="129">
      <c r="A129" s="5" t="n"/>
      <c r="B129" s="5" t="n"/>
      <c r="C129" s="6" t="n"/>
      <c r="D129" s="6" t="n"/>
      <c r="E129" s="6" t="n"/>
      <c r="F129" s="6" t="n"/>
      <c r="G129" s="7" t="n"/>
      <c r="H129" s="8" t="n"/>
      <c r="I129" s="8" t="n"/>
      <c r="J129" s="8" t="n"/>
      <c r="K129" s="6" t="n"/>
      <c r="L129" s="6" t="n"/>
      <c r="M129" s="6" t="n"/>
      <c r="N129" s="6" t="n"/>
    </row>
    <row r="130">
      <c r="A130" s="5" t="n"/>
      <c r="B130" s="5" t="n"/>
      <c r="C130" s="6" t="n"/>
      <c r="D130" s="6" t="n"/>
      <c r="E130" s="6" t="n"/>
      <c r="F130" s="6" t="n"/>
      <c r="G130" s="7" t="n"/>
      <c r="H130" s="8" t="n"/>
      <c r="I130" s="8" t="n"/>
      <c r="J130" s="8" t="n"/>
      <c r="K130" s="6" t="n"/>
      <c r="L130" s="6" t="n"/>
      <c r="M130" s="6" t="n"/>
      <c r="N130" s="6" t="n"/>
    </row>
    <row r="131">
      <c r="A131" s="5" t="n"/>
      <c r="B131" s="5" t="n"/>
      <c r="C131" s="6" t="n"/>
      <c r="D131" s="6" t="n"/>
      <c r="E131" s="6" t="n"/>
      <c r="F131" s="6" t="n"/>
      <c r="G131" s="7" t="n"/>
      <c r="H131" s="8" t="n"/>
      <c r="I131" s="8" t="n"/>
      <c r="J131" s="8" t="n"/>
      <c r="K131" s="6" t="n"/>
      <c r="L131" s="6" t="n"/>
      <c r="M131" s="6" t="n"/>
      <c r="N131" s="6" t="n"/>
    </row>
    <row r="132">
      <c r="A132" s="5" t="n"/>
      <c r="B132" s="5" t="n"/>
      <c r="C132" s="6" t="n"/>
      <c r="D132" s="6" t="n"/>
      <c r="E132" s="6" t="n"/>
      <c r="F132" s="6" t="n"/>
      <c r="G132" s="7" t="n"/>
      <c r="H132" s="8" t="n"/>
      <c r="I132" s="8" t="n"/>
      <c r="J132" s="8" t="n"/>
      <c r="K132" s="6" t="n"/>
      <c r="L132" s="6" t="n"/>
      <c r="M132" s="6" t="n"/>
      <c r="N132" s="6" t="n"/>
    </row>
    <row r="133">
      <c r="A133" s="5" t="n"/>
      <c r="B133" s="5" t="n"/>
      <c r="C133" s="6" t="n"/>
      <c r="D133" s="6" t="n"/>
      <c r="E133" s="6" t="n"/>
      <c r="F133" s="6" t="n"/>
      <c r="G133" s="7" t="n"/>
      <c r="H133" s="8" t="n"/>
      <c r="I133" s="8" t="n"/>
      <c r="J133" s="8" t="n"/>
      <c r="K133" s="6" t="n"/>
      <c r="L133" s="6" t="n"/>
      <c r="M133" s="6" t="n"/>
      <c r="N133" s="6" t="n"/>
    </row>
    <row r="134">
      <c r="A134" s="5" t="n"/>
      <c r="B134" s="5" t="n"/>
      <c r="C134" s="6" t="n"/>
      <c r="D134" s="6" t="n"/>
      <c r="E134" s="6" t="n"/>
      <c r="F134" s="6" t="n"/>
      <c r="G134" s="7" t="n"/>
      <c r="H134" s="8" t="n"/>
      <c r="I134" s="8" t="n"/>
      <c r="J134" s="8" t="n"/>
      <c r="K134" s="6" t="n"/>
      <c r="L134" s="6" t="n"/>
      <c r="M134" s="6" t="n"/>
      <c r="N134" s="6" t="n"/>
    </row>
    <row r="135">
      <c r="A135" s="5" t="n"/>
      <c r="B135" s="5" t="n"/>
      <c r="C135" s="6" t="n"/>
      <c r="D135" s="6" t="n"/>
      <c r="E135" s="6" t="n"/>
      <c r="F135" s="6" t="n"/>
      <c r="G135" s="7" t="n"/>
      <c r="H135" s="8" t="n"/>
      <c r="I135" s="8" t="n"/>
      <c r="J135" s="8" t="n"/>
      <c r="K135" s="6" t="n"/>
      <c r="L135" s="6" t="n"/>
      <c r="M135" s="6" t="n"/>
      <c r="N135" s="6" t="n"/>
    </row>
    <row r="136">
      <c r="A136" s="5" t="n"/>
      <c r="B136" s="5" t="n"/>
      <c r="C136" s="6" t="n"/>
      <c r="D136" s="6" t="n"/>
      <c r="E136" s="6" t="n"/>
      <c r="F136" s="6" t="n"/>
      <c r="G136" s="7" t="n"/>
      <c r="H136" s="8" t="n"/>
      <c r="I136" s="8" t="n"/>
      <c r="J136" s="8" t="n"/>
      <c r="K136" s="6" t="n"/>
      <c r="L136" s="6" t="n"/>
      <c r="M136" s="6" t="n"/>
      <c r="N136" s="6" t="n"/>
    </row>
    <row r="137">
      <c r="A137" s="5" t="n"/>
      <c r="B137" s="5" t="n"/>
      <c r="C137" s="6" t="n"/>
      <c r="D137" s="6" t="n"/>
      <c r="E137" s="6" t="n"/>
      <c r="F137" s="6" t="n"/>
      <c r="G137" s="7" t="n"/>
      <c r="H137" s="8" t="n"/>
      <c r="I137" s="8" t="n"/>
      <c r="J137" s="8" t="n"/>
      <c r="K137" s="6" t="n"/>
      <c r="L137" s="6" t="n"/>
      <c r="M137" s="6" t="n"/>
      <c r="N137" s="6" t="n"/>
    </row>
    <row r="138">
      <c r="A138" s="5" t="n"/>
      <c r="B138" s="5" t="n"/>
      <c r="C138" s="6" t="n"/>
      <c r="D138" s="6" t="n"/>
      <c r="E138" s="6" t="n"/>
      <c r="F138" s="6" t="n"/>
      <c r="G138" s="7" t="n"/>
      <c r="H138" s="8" t="n"/>
      <c r="I138" s="8" t="n"/>
      <c r="J138" s="8" t="n"/>
      <c r="K138" s="6" t="n"/>
      <c r="L138" s="6" t="n"/>
      <c r="M138" s="6" t="n"/>
      <c r="N138" s="6" t="n"/>
    </row>
    <row r="139">
      <c r="A139" s="5" t="n"/>
      <c r="B139" s="5" t="n"/>
      <c r="C139" s="6" t="n"/>
      <c r="D139" s="6" t="n"/>
      <c r="E139" s="6" t="n"/>
      <c r="F139" s="6" t="n"/>
      <c r="G139" s="7" t="n"/>
      <c r="H139" s="8" t="n"/>
      <c r="I139" s="8" t="n"/>
      <c r="J139" s="8" t="n"/>
      <c r="K139" s="6" t="n"/>
      <c r="L139" s="6" t="n"/>
      <c r="M139" s="6" t="n"/>
      <c r="N139" s="6" t="n"/>
    </row>
    <row r="140">
      <c r="A140" s="5" t="n"/>
      <c r="B140" s="5" t="n"/>
      <c r="C140" s="6" t="n"/>
      <c r="D140" s="6" t="n"/>
      <c r="E140" s="6" t="n"/>
      <c r="F140" s="6" t="n"/>
      <c r="G140" s="7" t="n"/>
      <c r="H140" s="8" t="n"/>
      <c r="I140" s="8" t="n"/>
      <c r="J140" s="8" t="n"/>
      <c r="K140" s="6" t="n"/>
      <c r="L140" s="6" t="n"/>
      <c r="M140" s="6" t="n"/>
      <c r="N140" s="6" t="n"/>
    </row>
    <row r="141">
      <c r="A141" s="5" t="n"/>
      <c r="B141" s="5" t="n"/>
      <c r="C141" s="6" t="n"/>
      <c r="D141" s="6" t="n"/>
      <c r="E141" s="6" t="n"/>
      <c r="F141" s="6" t="n"/>
      <c r="G141" s="7" t="n"/>
      <c r="H141" s="8" t="n"/>
      <c r="I141" s="8" t="n"/>
      <c r="J141" s="8" t="n"/>
      <c r="K141" s="6" t="n"/>
      <c r="L141" s="6" t="n"/>
      <c r="M141" s="6" t="n"/>
      <c r="N141" s="6" t="n"/>
    </row>
    <row r="142">
      <c r="A142" s="5" t="n"/>
      <c r="B142" s="5" t="n"/>
      <c r="C142" s="6" t="n"/>
      <c r="D142" s="6" t="n"/>
      <c r="E142" s="6" t="n"/>
      <c r="F142" s="6" t="n"/>
      <c r="G142" s="7" t="n"/>
      <c r="H142" s="8" t="n"/>
      <c r="I142" s="8" t="n"/>
      <c r="J142" s="8" t="n"/>
      <c r="K142" s="6" t="n"/>
      <c r="L142" s="6" t="n"/>
      <c r="M142" s="6" t="n"/>
      <c r="N142" s="6" t="n"/>
    </row>
    <row r="143">
      <c r="A143" s="5" t="n"/>
      <c r="B143" s="5" t="n"/>
      <c r="C143" s="6" t="n"/>
      <c r="D143" s="6" t="n"/>
      <c r="E143" s="6" t="n"/>
      <c r="F143" s="6" t="n"/>
      <c r="G143" s="7" t="n"/>
      <c r="H143" s="8" t="n"/>
      <c r="I143" s="8" t="n"/>
      <c r="J143" s="8" t="n"/>
      <c r="K143" s="6" t="n"/>
      <c r="L143" s="6" t="n"/>
      <c r="M143" s="6" t="n"/>
      <c r="N143" s="6" t="n"/>
    </row>
    <row r="144">
      <c r="A144" s="5" t="n"/>
      <c r="B144" s="5" t="n"/>
      <c r="C144" s="6" t="n"/>
      <c r="D144" s="6" t="n"/>
      <c r="E144" s="6" t="n"/>
      <c r="F144" s="6" t="n"/>
      <c r="G144" s="7" t="n"/>
      <c r="H144" s="8" t="n"/>
      <c r="I144" s="8" t="n"/>
      <c r="J144" s="8" t="n"/>
      <c r="K144" s="6" t="n"/>
      <c r="L144" s="6" t="n"/>
      <c r="M144" s="6" t="n"/>
      <c r="N144" s="6" t="n"/>
    </row>
    <row r="145">
      <c r="A145" s="5" t="n"/>
      <c r="B145" s="5" t="n"/>
      <c r="C145" s="6" t="n"/>
      <c r="D145" s="6" t="n"/>
      <c r="E145" s="6" t="n"/>
      <c r="F145" s="6" t="n"/>
      <c r="G145" s="7" t="n"/>
      <c r="H145" s="8" t="n"/>
      <c r="I145" s="8" t="n"/>
      <c r="J145" s="8" t="n"/>
      <c r="K145" s="6" t="n"/>
      <c r="L145" s="6" t="n"/>
      <c r="M145" s="6" t="n"/>
      <c r="N145" s="6" t="n"/>
    </row>
    <row r="146">
      <c r="A146" s="5" t="n"/>
      <c r="B146" s="5" t="n"/>
      <c r="C146" s="6" t="n"/>
      <c r="D146" s="6" t="n"/>
      <c r="E146" s="6" t="n"/>
      <c r="F146" s="6" t="n"/>
      <c r="G146" s="7" t="n"/>
      <c r="H146" s="8" t="n"/>
      <c r="I146" s="8" t="n"/>
      <c r="J146" s="8" t="n"/>
      <c r="K146" s="6" t="n"/>
      <c r="L146" s="6" t="n"/>
      <c r="M146" s="6" t="n"/>
      <c r="N146" s="6" t="n"/>
    </row>
    <row r="147">
      <c r="A147" s="5" t="n"/>
      <c r="B147" s="5" t="n"/>
      <c r="C147" s="6" t="n"/>
      <c r="D147" s="6" t="n"/>
      <c r="E147" s="6" t="n"/>
      <c r="F147" s="6" t="n"/>
      <c r="G147" s="7" t="n"/>
      <c r="H147" s="8" t="n"/>
      <c r="I147" s="8" t="n"/>
      <c r="J147" s="8" t="n"/>
      <c r="K147" s="6" t="n"/>
      <c r="L147" s="6" t="n"/>
      <c r="M147" s="6" t="n"/>
      <c r="N147" s="6" t="n"/>
    </row>
    <row r="148">
      <c r="A148" s="5" t="n"/>
      <c r="B148" s="5" t="n"/>
      <c r="C148" s="6" t="n"/>
      <c r="D148" s="6" t="n"/>
      <c r="E148" s="6" t="n"/>
      <c r="F148" s="6" t="n"/>
      <c r="G148" s="7" t="n"/>
      <c r="H148" s="8" t="n"/>
      <c r="I148" s="8" t="n"/>
      <c r="J148" s="8" t="n"/>
      <c r="K148" s="6" t="n"/>
      <c r="L148" s="6" t="n"/>
      <c r="M148" s="6" t="n"/>
      <c r="N148" s="6" t="n"/>
    </row>
    <row r="149">
      <c r="A149" s="5" t="n"/>
      <c r="B149" s="5" t="n"/>
      <c r="C149" s="6" t="n"/>
      <c r="D149" s="6" t="n"/>
      <c r="E149" s="6" t="n"/>
      <c r="F149" s="6" t="n"/>
      <c r="G149" s="7" t="n"/>
      <c r="H149" s="8" t="n"/>
      <c r="I149" s="8" t="n"/>
      <c r="J149" s="8" t="n"/>
      <c r="K149" s="6" t="n"/>
      <c r="L149" s="6" t="n"/>
      <c r="M149" s="6" t="n"/>
      <c r="N149" s="6" t="n"/>
    </row>
    <row r="150">
      <c r="A150" s="5" t="n"/>
      <c r="B150" s="5" t="n"/>
      <c r="C150" s="6" t="n"/>
      <c r="D150" s="6" t="n"/>
      <c r="E150" s="6" t="n"/>
      <c r="F150" s="6" t="n"/>
      <c r="G150" s="7" t="n"/>
      <c r="H150" s="8" t="n"/>
      <c r="I150" s="8" t="n"/>
      <c r="J150" s="8" t="n"/>
      <c r="K150" s="6" t="n"/>
      <c r="L150" s="6" t="n"/>
      <c r="M150" s="6" t="n"/>
      <c r="N150" s="6" t="n"/>
    </row>
    <row r="151">
      <c r="A151" s="5" t="n"/>
      <c r="B151" s="5" t="n"/>
      <c r="C151" s="6" t="n"/>
      <c r="D151" s="6" t="n"/>
      <c r="E151" s="6" t="n"/>
      <c r="F151" s="6" t="n"/>
      <c r="G151" s="7" t="n"/>
      <c r="H151" s="8" t="n"/>
      <c r="I151" s="8" t="n"/>
      <c r="J151" s="8" t="n"/>
      <c r="K151" s="6" t="n"/>
      <c r="L151" s="6" t="n"/>
      <c r="M151" s="6" t="n"/>
      <c r="N151" s="6" t="n"/>
    </row>
    <row r="152">
      <c r="A152" s="5" t="n"/>
      <c r="B152" s="5" t="n"/>
      <c r="C152" s="6" t="n"/>
      <c r="D152" s="6" t="n"/>
      <c r="E152" s="6" t="n"/>
      <c r="F152" s="6" t="n"/>
      <c r="G152" s="7" t="n"/>
      <c r="H152" s="8" t="n"/>
      <c r="I152" s="8" t="n"/>
      <c r="J152" s="8" t="n"/>
      <c r="K152" s="6" t="n"/>
      <c r="L152" s="6" t="n"/>
      <c r="M152" s="6" t="n"/>
      <c r="N152" s="6" t="n"/>
    </row>
    <row r="153">
      <c r="A153" s="5" t="n"/>
      <c r="B153" s="5" t="n"/>
      <c r="C153" s="6" t="n"/>
      <c r="D153" s="6" t="n"/>
      <c r="E153" s="6" t="n"/>
      <c r="F153" s="6" t="n"/>
      <c r="G153" s="7" t="n"/>
      <c r="H153" s="8" t="n"/>
      <c r="I153" s="8" t="n"/>
      <c r="J153" s="8" t="n"/>
      <c r="K153" s="6" t="n"/>
      <c r="L153" s="6" t="n"/>
      <c r="M153" s="6" t="n"/>
      <c r="N153" s="6" t="n"/>
    </row>
    <row r="154">
      <c r="A154" s="5" t="n"/>
      <c r="B154" s="5" t="n"/>
      <c r="C154" s="6" t="n"/>
      <c r="D154" s="6" t="n"/>
      <c r="E154" s="6" t="n"/>
      <c r="F154" s="6" t="n"/>
      <c r="G154" s="7" t="n"/>
      <c r="H154" s="8" t="n"/>
      <c r="I154" s="8" t="n"/>
      <c r="J154" s="8" t="n"/>
      <c r="K154" s="6" t="n"/>
      <c r="L154" s="6" t="n"/>
      <c r="M154" s="6" t="n"/>
      <c r="N154" s="6" t="n"/>
    </row>
    <row r="155">
      <c r="A155" s="5" t="n"/>
      <c r="B155" s="5" t="n"/>
      <c r="C155" s="6" t="n"/>
      <c r="D155" s="6" t="n"/>
      <c r="E155" s="6" t="n"/>
      <c r="F155" s="6" t="n"/>
      <c r="G155" s="7" t="n"/>
      <c r="H155" s="8" t="n"/>
      <c r="I155" s="8" t="n"/>
      <c r="J155" s="8" t="n"/>
      <c r="K155" s="6" t="n"/>
      <c r="L155" s="6" t="n"/>
      <c r="M155" s="6" t="n"/>
      <c r="N155" s="6" t="n"/>
    </row>
    <row r="156">
      <c r="A156" s="5" t="n"/>
      <c r="B156" s="5" t="n"/>
      <c r="C156" s="6" t="n"/>
      <c r="D156" s="6" t="n"/>
      <c r="E156" s="6" t="n"/>
      <c r="F156" s="6" t="n"/>
      <c r="G156" s="7" t="n"/>
      <c r="H156" s="8" t="n"/>
      <c r="I156" s="8" t="n"/>
      <c r="J156" s="8" t="n"/>
      <c r="K156" s="6" t="n"/>
      <c r="L156" s="6" t="n"/>
      <c r="M156" s="6" t="n"/>
      <c r="N156" s="6" t="n"/>
    </row>
    <row r="157">
      <c r="A157" s="5" t="n"/>
      <c r="B157" s="5" t="n"/>
      <c r="C157" s="6" t="n"/>
      <c r="D157" s="6" t="n"/>
      <c r="E157" s="6" t="n"/>
      <c r="F157" s="6" t="n"/>
      <c r="G157" s="7" t="n"/>
      <c r="H157" s="8" t="n"/>
      <c r="I157" s="8" t="n"/>
      <c r="J157" s="8" t="n"/>
      <c r="K157" s="6" t="n"/>
      <c r="L157" s="6" t="n"/>
      <c r="M157" s="6" t="n"/>
      <c r="N157" s="6" t="n"/>
    </row>
    <row r="158">
      <c r="A158" s="5" t="n"/>
      <c r="B158" s="5" t="n"/>
      <c r="C158" s="6" t="n"/>
      <c r="D158" s="6" t="n"/>
      <c r="E158" s="6" t="n"/>
      <c r="F158" s="6" t="n"/>
      <c r="G158" s="7" t="n"/>
      <c r="H158" s="8" t="n"/>
      <c r="I158" s="8" t="n"/>
      <c r="J158" s="8" t="n"/>
      <c r="K158" s="6" t="n"/>
      <c r="L158" s="6" t="n"/>
      <c r="M158" s="6" t="n"/>
      <c r="N158" s="6" t="n"/>
    </row>
    <row r="159">
      <c r="A159" s="5" t="n"/>
      <c r="B159" s="5" t="n"/>
      <c r="C159" s="6" t="n"/>
      <c r="D159" s="6" t="n"/>
      <c r="E159" s="6" t="n"/>
      <c r="F159" s="6" t="n"/>
      <c r="G159" s="7" t="n"/>
      <c r="H159" s="8" t="n"/>
      <c r="I159" s="8" t="n"/>
      <c r="J159" s="8" t="n"/>
      <c r="K159" s="6" t="n"/>
      <c r="L159" s="6" t="n"/>
      <c r="M159" s="6" t="n"/>
      <c r="N159" s="6" t="n"/>
    </row>
    <row r="160">
      <c r="A160" s="5" t="n"/>
      <c r="B160" s="5" t="n"/>
      <c r="C160" s="6" t="n"/>
      <c r="D160" s="6" t="n"/>
      <c r="E160" s="6" t="n"/>
      <c r="F160" s="6" t="n"/>
      <c r="G160" s="7" t="n"/>
      <c r="H160" s="8" t="n"/>
      <c r="I160" s="8" t="n"/>
      <c r="J160" s="8" t="n"/>
      <c r="K160" s="6" t="n"/>
      <c r="L160" s="6" t="n"/>
      <c r="M160" s="6" t="n"/>
      <c r="N160" s="6" t="n"/>
    </row>
    <row r="161">
      <c r="A161" s="5" t="n"/>
      <c r="B161" s="5" t="n"/>
      <c r="C161" s="6" t="n"/>
      <c r="D161" s="6" t="n"/>
      <c r="E161" s="6" t="n"/>
      <c r="F161" s="6" t="n"/>
      <c r="G161" s="7" t="n"/>
      <c r="H161" s="8" t="n"/>
      <c r="I161" s="8" t="n"/>
      <c r="J161" s="8" t="n"/>
      <c r="K161" s="6" t="n"/>
      <c r="L161" s="6" t="n"/>
      <c r="M161" s="6" t="n"/>
      <c r="N161" s="6" t="n"/>
    </row>
    <row r="162">
      <c r="A162" s="5" t="n"/>
      <c r="B162" s="5" t="n"/>
      <c r="C162" s="6" t="n"/>
      <c r="D162" s="6" t="n"/>
      <c r="E162" s="6" t="n"/>
      <c r="F162" s="6" t="n"/>
      <c r="G162" s="7" t="n"/>
      <c r="H162" s="8" t="n"/>
      <c r="I162" s="8" t="n"/>
      <c r="J162" s="8" t="n"/>
      <c r="K162" s="6" t="n"/>
      <c r="L162" s="6" t="n"/>
      <c r="M162" s="6" t="n"/>
      <c r="N162" s="6" t="n"/>
    </row>
    <row r="163">
      <c r="A163" s="5" t="n"/>
      <c r="B163" s="5" t="n"/>
      <c r="C163" s="6" t="n"/>
      <c r="D163" s="6" t="n"/>
      <c r="E163" s="6" t="n"/>
      <c r="F163" s="6" t="n"/>
      <c r="G163" s="7" t="n"/>
      <c r="H163" s="8" t="n"/>
      <c r="I163" s="8" t="n"/>
      <c r="J163" s="8" t="n"/>
      <c r="K163" s="6" t="n"/>
      <c r="L163" s="6" t="n"/>
      <c r="M163" s="6" t="n"/>
      <c r="N163" s="6" t="n"/>
    </row>
    <row r="164">
      <c r="A164" s="5" t="n"/>
      <c r="B164" s="5" t="n"/>
      <c r="C164" s="6" t="n"/>
      <c r="D164" s="6" t="n"/>
      <c r="E164" s="6" t="n"/>
      <c r="F164" s="6" t="n"/>
      <c r="G164" s="7" t="n"/>
      <c r="H164" s="8" t="n"/>
      <c r="I164" s="8" t="n"/>
      <c r="J164" s="8" t="n"/>
      <c r="K164" s="6" t="n"/>
      <c r="L164" s="6" t="n"/>
      <c r="M164" s="6" t="n"/>
      <c r="N164" s="6" t="n"/>
    </row>
    <row r="165">
      <c r="A165" s="5" t="n"/>
      <c r="B165" s="5" t="n"/>
      <c r="C165" s="6" t="n"/>
      <c r="D165" s="6" t="n"/>
      <c r="E165" s="6" t="n"/>
      <c r="F165" s="6" t="n"/>
      <c r="G165" s="7" t="n"/>
      <c r="H165" s="8" t="n"/>
      <c r="I165" s="8" t="n"/>
      <c r="J165" s="8" t="n"/>
      <c r="K165" s="6" t="n"/>
      <c r="L165" s="6" t="n"/>
      <c r="M165" s="6" t="n"/>
      <c r="N165" s="6" t="n"/>
    </row>
    <row r="166">
      <c r="A166" s="5" t="n"/>
      <c r="B166" s="5" t="n"/>
      <c r="C166" s="6" t="n"/>
      <c r="D166" s="6" t="n"/>
      <c r="E166" s="6" t="n"/>
      <c r="F166" s="6" t="n"/>
      <c r="G166" s="7" t="n"/>
      <c r="H166" s="8" t="n"/>
      <c r="I166" s="8" t="n"/>
      <c r="J166" s="8" t="n"/>
      <c r="K166" s="6" t="n"/>
      <c r="L166" s="6" t="n"/>
      <c r="M166" s="6" t="n"/>
      <c r="N166" s="6" t="n"/>
    </row>
    <row r="167">
      <c r="A167" s="5" t="n"/>
      <c r="B167" s="5" t="n"/>
      <c r="C167" s="6" t="n"/>
      <c r="D167" s="6" t="n"/>
      <c r="E167" s="6" t="n"/>
      <c r="F167" s="6" t="n"/>
      <c r="G167" s="7" t="n"/>
      <c r="H167" s="8" t="n"/>
      <c r="I167" s="8" t="n"/>
      <c r="J167" s="8" t="n"/>
      <c r="K167" s="6" t="n"/>
      <c r="L167" s="6" t="n"/>
      <c r="M167" s="6" t="n"/>
      <c r="N167" s="6" t="n"/>
    </row>
    <row r="168">
      <c r="A168" s="5" t="n"/>
      <c r="B168" s="5" t="n"/>
      <c r="C168" s="6" t="n"/>
      <c r="D168" s="6" t="n"/>
      <c r="E168" s="6" t="n"/>
      <c r="F168" s="6" t="n"/>
      <c r="G168" s="7" t="n"/>
      <c r="H168" s="8" t="n"/>
      <c r="I168" s="8" t="n"/>
      <c r="J168" s="8" t="n"/>
      <c r="K168" s="6" t="n"/>
      <c r="L168" s="6" t="n"/>
      <c r="M168" s="6" t="n"/>
      <c r="N168" s="6" t="n"/>
    </row>
    <row r="169">
      <c r="A169" s="5" t="n"/>
      <c r="B169" s="5" t="n"/>
      <c r="C169" s="6" t="n"/>
      <c r="D169" s="6" t="n"/>
      <c r="E169" s="6" t="n"/>
      <c r="F169" s="6" t="n"/>
      <c r="G169" s="7" t="n"/>
      <c r="H169" s="8" t="n"/>
      <c r="I169" s="8" t="n"/>
      <c r="J169" s="8" t="n"/>
      <c r="K169" s="6" t="n"/>
      <c r="L169" s="6" t="n"/>
      <c r="M169" s="6" t="n"/>
      <c r="N169" s="6" t="n"/>
    </row>
    <row r="170">
      <c r="A170" s="5" t="n"/>
      <c r="B170" s="5" t="n"/>
      <c r="C170" s="6" t="n"/>
      <c r="D170" s="6" t="n"/>
      <c r="E170" s="6" t="n"/>
      <c r="F170" s="6" t="n"/>
      <c r="G170" s="7" t="n"/>
      <c r="H170" s="8" t="n"/>
      <c r="I170" s="8" t="n"/>
      <c r="J170" s="8" t="n"/>
      <c r="K170" s="6" t="n"/>
      <c r="L170" s="6" t="n"/>
      <c r="M170" s="6" t="n"/>
      <c r="N170" s="6" t="n"/>
    </row>
    <row r="171">
      <c r="A171" s="5" t="n"/>
      <c r="B171" s="5" t="n"/>
      <c r="C171" s="6" t="n"/>
      <c r="D171" s="6" t="n"/>
      <c r="E171" s="6" t="n"/>
      <c r="F171" s="6" t="n"/>
      <c r="G171" s="7" t="n"/>
      <c r="H171" s="8" t="n"/>
      <c r="I171" s="8" t="n"/>
      <c r="J171" s="8" t="n"/>
      <c r="K171" s="6" t="n"/>
      <c r="L171" s="6" t="n"/>
      <c r="M171" s="6" t="n"/>
      <c r="N171" s="6" t="n"/>
    </row>
    <row r="172">
      <c r="A172" s="5" t="n"/>
      <c r="B172" s="5" t="n"/>
      <c r="C172" s="6" t="n"/>
      <c r="D172" s="6" t="n"/>
      <c r="E172" s="6" t="n"/>
      <c r="F172" s="6" t="n"/>
      <c r="G172" s="7" t="n"/>
      <c r="H172" s="8" t="n"/>
      <c r="I172" s="8" t="n"/>
      <c r="J172" s="8" t="n"/>
      <c r="K172" s="6" t="n"/>
      <c r="L172" s="6" t="n"/>
      <c r="M172" s="6" t="n"/>
      <c r="N172" s="6" t="n"/>
    </row>
    <row r="173">
      <c r="A173" s="5" t="n"/>
      <c r="B173" s="5" t="n"/>
      <c r="C173" s="6" t="n"/>
      <c r="D173" s="6" t="n"/>
      <c r="E173" s="6" t="n"/>
      <c r="F173" s="6" t="n"/>
      <c r="G173" s="7" t="n"/>
      <c r="H173" s="8" t="n"/>
      <c r="I173" s="8" t="n"/>
      <c r="J173" s="8" t="n"/>
      <c r="K173" s="6" t="n"/>
      <c r="L173" s="6" t="n"/>
      <c r="M173" s="6" t="n"/>
      <c r="N173" s="6" t="n"/>
    </row>
    <row r="174">
      <c r="A174" s="5" t="n"/>
      <c r="B174" s="5" t="n"/>
      <c r="C174" s="6" t="n"/>
      <c r="D174" s="6" t="n"/>
      <c r="E174" s="6" t="n"/>
      <c r="F174" s="6" t="n"/>
      <c r="G174" s="7" t="n"/>
      <c r="H174" s="8" t="n"/>
      <c r="I174" s="8" t="n"/>
      <c r="J174" s="8" t="n"/>
      <c r="K174" s="6" t="n"/>
      <c r="L174" s="6" t="n"/>
      <c r="M174" s="6" t="n"/>
      <c r="N174" s="6" t="n"/>
    </row>
    <row r="175">
      <c r="A175" s="5" t="n"/>
      <c r="B175" s="5" t="n"/>
      <c r="C175" s="6" t="n"/>
      <c r="D175" s="6" t="n"/>
      <c r="E175" s="6" t="n"/>
      <c r="F175" s="6" t="n"/>
      <c r="G175" s="7" t="n"/>
      <c r="H175" s="8" t="n"/>
      <c r="I175" s="8" t="n"/>
      <c r="J175" s="8" t="n"/>
      <c r="K175" s="6" t="n"/>
      <c r="L175" s="6" t="n"/>
      <c r="M175" s="6" t="n"/>
      <c r="N175" s="6" t="n"/>
    </row>
    <row r="176">
      <c r="A176" s="5" t="n"/>
      <c r="B176" s="5" t="n"/>
      <c r="C176" s="6" t="n"/>
      <c r="D176" s="6" t="n"/>
      <c r="E176" s="6" t="n"/>
      <c r="F176" s="6" t="n"/>
      <c r="G176" s="7" t="n"/>
      <c r="H176" s="8" t="n"/>
      <c r="I176" s="8" t="n"/>
      <c r="J176" s="8" t="n"/>
      <c r="K176" s="6" t="n"/>
      <c r="L176" s="6" t="n"/>
      <c r="M176" s="6" t="n"/>
      <c r="N176" s="6" t="n"/>
    </row>
    <row r="177">
      <c r="A177" s="5" t="n"/>
      <c r="B177" s="5" t="n"/>
      <c r="C177" s="6" t="n"/>
      <c r="D177" s="6" t="n"/>
      <c r="E177" s="6" t="n"/>
      <c r="F177" s="6" t="n"/>
      <c r="G177" s="7" t="n"/>
      <c r="H177" s="8" t="n"/>
      <c r="I177" s="8" t="n"/>
      <c r="J177" s="8" t="n"/>
      <c r="K177" s="6" t="n"/>
      <c r="L177" s="6" t="n"/>
      <c r="M177" s="6" t="n"/>
      <c r="N177" s="6" t="n"/>
    </row>
    <row r="178">
      <c r="A178" s="5" t="n"/>
      <c r="B178" s="5" t="n"/>
      <c r="C178" s="6" t="n"/>
      <c r="D178" s="6" t="n"/>
      <c r="E178" s="6" t="n"/>
      <c r="F178" s="6" t="n"/>
      <c r="G178" s="7" t="n"/>
      <c r="H178" s="8" t="n"/>
      <c r="I178" s="8" t="n"/>
      <c r="J178" s="8" t="n"/>
      <c r="K178" s="6" t="n"/>
      <c r="L178" s="6" t="n"/>
      <c r="M178" s="6" t="n"/>
      <c r="N178" s="6" t="n"/>
    </row>
    <row r="179">
      <c r="A179" s="5" t="n"/>
      <c r="B179" s="5" t="n"/>
      <c r="C179" s="6" t="n"/>
      <c r="D179" s="6" t="n"/>
      <c r="E179" s="6" t="n"/>
      <c r="F179" s="6" t="n"/>
      <c r="G179" s="7" t="n"/>
      <c r="H179" s="8" t="n"/>
      <c r="I179" s="8" t="n"/>
      <c r="J179" s="8" t="n"/>
      <c r="K179" s="6" t="n"/>
      <c r="L179" s="6" t="n"/>
      <c r="M179" s="6" t="n"/>
      <c r="N179" s="6" t="n"/>
    </row>
    <row r="180">
      <c r="A180" s="5" t="n"/>
      <c r="B180" s="5" t="n"/>
      <c r="C180" s="6" t="n"/>
      <c r="D180" s="6" t="n"/>
      <c r="E180" s="6" t="n"/>
      <c r="F180" s="6" t="n"/>
      <c r="G180" s="7" t="n"/>
      <c r="H180" s="8" t="n"/>
      <c r="I180" s="8" t="n"/>
      <c r="J180" s="8" t="n"/>
      <c r="K180" s="6" t="n"/>
      <c r="L180" s="6" t="n"/>
      <c r="M180" s="6" t="n"/>
      <c r="N180" s="6" t="n"/>
    </row>
    <row r="181">
      <c r="A181" s="5" t="n"/>
      <c r="B181" s="5" t="n"/>
      <c r="C181" s="6" t="n"/>
      <c r="D181" s="6" t="n"/>
      <c r="E181" s="6" t="n"/>
      <c r="F181" s="6" t="n"/>
      <c r="G181" s="7" t="n"/>
      <c r="H181" s="8" t="n"/>
      <c r="I181" s="8" t="n"/>
      <c r="J181" s="8" t="n"/>
      <c r="K181" s="6" t="n"/>
      <c r="L181" s="6" t="n"/>
      <c r="M181" s="6" t="n"/>
      <c r="N181" s="6" t="n"/>
    </row>
    <row r="182">
      <c r="A182" s="5" t="n"/>
      <c r="B182" s="5" t="n"/>
      <c r="C182" s="6" t="n"/>
      <c r="D182" s="6" t="n"/>
      <c r="E182" s="6" t="n"/>
      <c r="F182" s="6" t="n"/>
      <c r="G182" s="7" t="n"/>
      <c r="H182" s="8" t="n"/>
      <c r="I182" s="8" t="n"/>
      <c r="J182" s="8" t="n"/>
      <c r="K182" s="6" t="n"/>
      <c r="L182" s="6" t="n"/>
      <c r="M182" s="6" t="n"/>
      <c r="N182" s="6" t="n"/>
    </row>
    <row r="183">
      <c r="A183" s="5" t="n"/>
      <c r="B183" s="5" t="n"/>
      <c r="C183" s="6" t="n"/>
      <c r="D183" s="6" t="n"/>
      <c r="E183" s="6" t="n"/>
      <c r="F183" s="6" t="n"/>
      <c r="G183" s="7" t="n"/>
      <c r="H183" s="8" t="n"/>
      <c r="I183" s="8" t="n"/>
      <c r="J183" s="8" t="n"/>
      <c r="K183" s="6" t="n"/>
      <c r="L183" s="6" t="n"/>
      <c r="M183" s="6" t="n"/>
      <c r="N183" s="6" t="n"/>
    </row>
    <row r="184">
      <c r="A184" s="5" t="n"/>
      <c r="B184" s="5" t="n"/>
      <c r="C184" s="6" t="n"/>
      <c r="D184" s="6" t="n"/>
      <c r="E184" s="6" t="n"/>
      <c r="F184" s="6" t="n"/>
      <c r="G184" s="7" t="n"/>
      <c r="H184" s="8" t="n"/>
      <c r="I184" s="8" t="n"/>
      <c r="J184" s="8" t="n"/>
      <c r="K184" s="6" t="n"/>
      <c r="L184" s="6" t="n"/>
      <c r="M184" s="6" t="n"/>
      <c r="N184" s="6" t="n"/>
    </row>
    <row r="185">
      <c r="A185" s="5" t="n"/>
      <c r="B185" s="5" t="n"/>
      <c r="C185" s="6" t="n"/>
      <c r="D185" s="6" t="n"/>
      <c r="E185" s="6" t="n"/>
      <c r="F185" s="6" t="n"/>
      <c r="G185" s="7" t="n"/>
      <c r="H185" s="8" t="n"/>
      <c r="I185" s="8" t="n"/>
      <c r="J185" s="8" t="n"/>
      <c r="K185" s="6" t="n"/>
      <c r="L185" s="6" t="n"/>
      <c r="M185" s="6" t="n"/>
      <c r="N185" s="6" t="n"/>
    </row>
    <row r="186">
      <c r="A186" s="5" t="n"/>
      <c r="B186" s="5" t="n"/>
      <c r="C186" s="6" t="n"/>
      <c r="D186" s="6" t="n"/>
      <c r="E186" s="6" t="n"/>
      <c r="F186" s="6" t="n"/>
      <c r="G186" s="7" t="n"/>
      <c r="H186" s="8" t="n"/>
      <c r="I186" s="8" t="n"/>
      <c r="J186" s="8" t="n"/>
      <c r="K186" s="6" t="n"/>
      <c r="L186" s="6" t="n"/>
      <c r="M186" s="6" t="n"/>
      <c r="N186" s="6" t="n"/>
    </row>
    <row r="187">
      <c r="A187" s="5" t="n"/>
      <c r="B187" s="5" t="n"/>
      <c r="C187" s="6" t="n"/>
      <c r="D187" s="6" t="n"/>
      <c r="E187" s="6" t="n"/>
      <c r="F187" s="6" t="n"/>
      <c r="G187" s="7" t="n"/>
      <c r="H187" s="8" t="n"/>
      <c r="I187" s="8" t="n"/>
      <c r="J187" s="8" t="n"/>
      <c r="K187" s="6" t="n"/>
      <c r="L187" s="6" t="n"/>
      <c r="M187" s="6" t="n"/>
      <c r="N187" s="6" t="n"/>
    </row>
    <row r="188">
      <c r="A188" s="5" t="n"/>
      <c r="B188" s="5" t="n"/>
      <c r="C188" s="6" t="n"/>
      <c r="D188" s="6" t="n"/>
      <c r="E188" s="6" t="n"/>
      <c r="F188" s="6" t="n"/>
      <c r="G188" s="7" t="n"/>
      <c r="H188" s="8" t="n"/>
      <c r="I188" s="8" t="n"/>
      <c r="J188" s="8" t="n"/>
      <c r="K188" s="6" t="n"/>
      <c r="L188" s="6" t="n"/>
      <c r="M188" s="6" t="n"/>
      <c r="N188" s="6" t="n"/>
    </row>
    <row r="189">
      <c r="A189" s="5" t="n"/>
      <c r="B189" s="5" t="n"/>
      <c r="C189" s="6" t="n"/>
      <c r="D189" s="6" t="n"/>
      <c r="E189" s="6" t="n"/>
      <c r="F189" s="6" t="n"/>
      <c r="G189" s="7" t="n"/>
      <c r="H189" s="8" t="n"/>
      <c r="I189" s="8" t="n"/>
      <c r="J189" s="8" t="n"/>
      <c r="K189" s="6" t="n"/>
      <c r="L189" s="6" t="n"/>
      <c r="M189" s="6" t="n"/>
      <c r="N189" s="6" t="n"/>
    </row>
    <row r="190">
      <c r="A190" s="5" t="n"/>
      <c r="B190" s="5" t="n"/>
      <c r="C190" s="6" t="n"/>
      <c r="D190" s="6" t="n"/>
      <c r="E190" s="6" t="n"/>
      <c r="F190" s="6" t="n"/>
      <c r="G190" s="7" t="n"/>
      <c r="H190" s="8" t="n"/>
      <c r="I190" s="8" t="n"/>
      <c r="J190" s="8" t="n"/>
      <c r="K190" s="6" t="n"/>
      <c r="L190" s="6" t="n"/>
      <c r="M190" s="6" t="n"/>
      <c r="N190" s="6" t="n"/>
    </row>
    <row r="191">
      <c r="A191" s="5" t="n"/>
      <c r="B191" s="5" t="n"/>
      <c r="C191" s="6" t="n"/>
      <c r="D191" s="6" t="n"/>
      <c r="E191" s="6" t="n"/>
      <c r="F191" s="6" t="n"/>
      <c r="G191" s="7" t="n"/>
      <c r="H191" s="8" t="n"/>
      <c r="I191" s="8" t="n"/>
      <c r="J191" s="8" t="n"/>
      <c r="K191" s="6" t="n"/>
      <c r="L191" s="6" t="n"/>
      <c r="M191" s="6" t="n"/>
      <c r="N191" s="6" t="n"/>
    </row>
    <row r="192">
      <c r="A192" s="5" t="n"/>
      <c r="B192" s="5" t="n"/>
      <c r="C192" s="6" t="n"/>
      <c r="D192" s="6" t="n"/>
      <c r="E192" s="6" t="n"/>
      <c r="F192" s="6" t="n"/>
      <c r="G192" s="7" t="n"/>
      <c r="H192" s="8" t="n"/>
      <c r="I192" s="8" t="n"/>
      <c r="J192" s="8" t="n"/>
      <c r="K192" s="6" t="n"/>
      <c r="L192" s="6" t="n"/>
      <c r="M192" s="6" t="n"/>
      <c r="N192" s="6" t="n"/>
    </row>
    <row r="193">
      <c r="A193" s="5" t="n"/>
      <c r="B193" s="5" t="n"/>
      <c r="C193" s="6" t="n"/>
      <c r="D193" s="6" t="n"/>
      <c r="E193" s="6" t="n"/>
      <c r="F193" s="6" t="n"/>
      <c r="G193" s="7" t="n"/>
      <c r="H193" s="8" t="n"/>
      <c r="I193" s="8" t="n"/>
      <c r="J193" s="8" t="n"/>
      <c r="K193" s="6" t="n"/>
      <c r="L193" s="6" t="n"/>
      <c r="M193" s="6" t="n"/>
      <c r="N193" s="6" t="n"/>
    </row>
    <row r="194">
      <c r="A194" s="5" t="n"/>
      <c r="B194" s="5" t="n"/>
      <c r="C194" s="6" t="n"/>
      <c r="D194" s="6" t="n"/>
      <c r="E194" s="6" t="n"/>
      <c r="F194" s="6" t="n"/>
      <c r="G194" s="7" t="n"/>
      <c r="H194" s="8" t="n"/>
      <c r="I194" s="8" t="n"/>
      <c r="J194" s="8" t="n"/>
      <c r="K194" s="6" t="n"/>
      <c r="L194" s="6" t="n"/>
      <c r="M194" s="6" t="n"/>
      <c r="N194" s="6" t="n"/>
    </row>
    <row r="195">
      <c r="A195" s="5" t="n"/>
      <c r="B195" s="5" t="n"/>
      <c r="C195" s="6" t="n"/>
      <c r="D195" s="6" t="n"/>
      <c r="E195" s="6" t="n"/>
      <c r="F195" s="6" t="n"/>
      <c r="G195" s="7" t="n"/>
      <c r="H195" s="8" t="n"/>
      <c r="I195" s="8" t="n"/>
      <c r="J195" s="8" t="n"/>
      <c r="K195" s="6" t="n"/>
      <c r="L195" s="6" t="n"/>
      <c r="M195" s="6" t="n"/>
      <c r="N195" s="6" t="n"/>
    </row>
    <row r="196">
      <c r="A196" s="5" t="n"/>
      <c r="B196" s="5" t="n"/>
      <c r="C196" s="6" t="n"/>
      <c r="D196" s="6" t="n"/>
      <c r="E196" s="6" t="n"/>
      <c r="F196" s="6" t="n"/>
      <c r="G196" s="7" t="n"/>
      <c r="H196" s="8" t="n"/>
      <c r="I196" s="8" t="n"/>
      <c r="J196" s="8" t="n"/>
      <c r="K196" s="6" t="n"/>
      <c r="L196" s="6" t="n"/>
      <c r="M196" s="6" t="n"/>
      <c r="N196" s="6" t="n"/>
    </row>
    <row r="197">
      <c r="A197" s="5" t="n"/>
      <c r="B197" s="5" t="n"/>
      <c r="C197" s="6" t="n"/>
      <c r="D197" s="6" t="n"/>
      <c r="E197" s="6" t="n"/>
      <c r="F197" s="6" t="n"/>
      <c r="G197" s="7" t="n"/>
      <c r="H197" s="8" t="n"/>
      <c r="I197" s="8" t="n"/>
      <c r="J197" s="8" t="n"/>
      <c r="K197" s="6" t="n"/>
      <c r="L197" s="6" t="n"/>
      <c r="M197" s="6" t="n"/>
      <c r="N197" s="6" t="n"/>
    </row>
    <row r="198">
      <c r="A198" s="5" t="n"/>
      <c r="B198" s="5" t="n"/>
      <c r="C198" s="6" t="n"/>
      <c r="D198" s="6" t="n"/>
      <c r="E198" s="6" t="n"/>
      <c r="F198" s="6" t="n"/>
      <c r="G198" s="7" t="n"/>
      <c r="H198" s="8" t="n"/>
      <c r="I198" s="8" t="n"/>
      <c r="J198" s="8" t="n"/>
      <c r="K198" s="6" t="n"/>
      <c r="L198" s="6" t="n"/>
      <c r="M198" s="6" t="n"/>
      <c r="N198" s="6" t="n"/>
    </row>
    <row r="199">
      <c r="A199" s="5" t="n"/>
      <c r="B199" s="5" t="n"/>
      <c r="C199" s="6" t="n"/>
      <c r="D199" s="6" t="n"/>
      <c r="E199" s="6" t="n"/>
      <c r="F199" s="6" t="n"/>
      <c r="G199" s="7" t="n"/>
      <c r="H199" s="8" t="n"/>
      <c r="I199" s="8" t="n"/>
      <c r="J199" s="8" t="n"/>
      <c r="K199" s="6" t="n"/>
      <c r="L199" s="6" t="n"/>
      <c r="M199" s="6" t="n"/>
      <c r="N199" s="6" t="n"/>
    </row>
    <row r="200">
      <c r="A200" s="5" t="n"/>
      <c r="B200" s="5" t="n"/>
      <c r="C200" s="6" t="n"/>
      <c r="D200" s="6" t="n"/>
      <c r="E200" s="6" t="n"/>
      <c r="F200" s="6" t="n"/>
      <c r="G200" s="7" t="n"/>
      <c r="H200" s="8" t="n"/>
      <c r="I200" s="8" t="n"/>
      <c r="J200" s="8" t="n"/>
      <c r="K200" s="6" t="n"/>
      <c r="L200" s="6" t="n"/>
      <c r="M200" s="6" t="n"/>
      <c r="N200" s="6" t="n"/>
    </row>
    <row r="201">
      <c r="A201" s="5" t="n"/>
      <c r="B201" s="5" t="n"/>
      <c r="C201" s="6" t="n"/>
      <c r="D201" s="6" t="n"/>
      <c r="E201" s="6" t="n"/>
      <c r="F201" s="6" t="n"/>
      <c r="G201" s="7" t="n"/>
      <c r="H201" s="8" t="n"/>
      <c r="I201" s="8" t="n"/>
      <c r="J201" s="8" t="n"/>
      <c r="K201" s="6" t="n"/>
      <c r="L201" s="6" t="n"/>
      <c r="M201" s="6" t="n"/>
      <c r="N201" s="6" t="n"/>
    </row>
    <row r="202">
      <c r="A202" s="5" t="n"/>
      <c r="B202" s="5" t="n"/>
      <c r="C202" s="6" t="n"/>
      <c r="D202" s="6" t="n"/>
      <c r="E202" s="6" t="n"/>
      <c r="F202" s="6" t="n"/>
      <c r="G202" s="7" t="n"/>
      <c r="H202" s="8" t="n"/>
      <c r="I202" s="8" t="n"/>
      <c r="J202" s="8" t="n"/>
      <c r="K202" s="6" t="n"/>
      <c r="L202" s="6" t="n"/>
      <c r="M202" s="6" t="n"/>
      <c r="N202" s="6" t="n"/>
    </row>
    <row r="203">
      <c r="A203" s="5" t="n"/>
      <c r="B203" s="5" t="n"/>
      <c r="C203" s="6" t="n"/>
      <c r="D203" s="6" t="n"/>
      <c r="E203" s="6" t="n"/>
      <c r="F203" s="6" t="n"/>
      <c r="G203" s="7" t="n"/>
      <c r="H203" s="8" t="n"/>
      <c r="I203" s="8" t="n"/>
      <c r="J203" s="8" t="n"/>
      <c r="K203" s="6" t="n"/>
      <c r="L203" s="6" t="n"/>
      <c r="M203" s="6" t="n"/>
      <c r="N203" s="6" t="n"/>
    </row>
    <row r="204">
      <c r="A204" s="5" t="n"/>
      <c r="B204" s="5" t="n"/>
      <c r="C204" s="6" t="n"/>
      <c r="D204" s="6" t="n"/>
      <c r="E204" s="6" t="n"/>
      <c r="F204" s="6" t="n"/>
      <c r="G204" s="7" t="n"/>
      <c r="H204" s="8" t="n"/>
      <c r="I204" s="8" t="n"/>
      <c r="J204" s="8" t="n"/>
      <c r="K204" s="6" t="n"/>
      <c r="L204" s="6" t="n"/>
      <c r="M204" s="6" t="n"/>
      <c r="N204" s="6" t="n"/>
    </row>
    <row r="205">
      <c r="A205" s="5" t="n"/>
      <c r="B205" s="5" t="n"/>
      <c r="C205" s="6" t="n"/>
      <c r="D205" s="6" t="n"/>
      <c r="E205" s="6" t="n"/>
      <c r="F205" s="6" t="n"/>
      <c r="G205" s="7" t="n"/>
      <c r="H205" s="8" t="n"/>
      <c r="I205" s="8" t="n"/>
      <c r="J205" s="8" t="n"/>
      <c r="K205" s="6" t="n"/>
      <c r="L205" s="6" t="n"/>
      <c r="M205" s="6" t="n"/>
      <c r="N205" s="6" t="n"/>
    </row>
    <row r="206">
      <c r="A206" s="5" t="n"/>
      <c r="B206" s="5" t="n"/>
      <c r="C206" s="6" t="n"/>
      <c r="D206" s="6" t="n"/>
      <c r="E206" s="6" t="n"/>
      <c r="F206" s="6" t="n"/>
      <c r="G206" s="7" t="n"/>
      <c r="H206" s="8" t="n"/>
      <c r="I206" s="8" t="n"/>
      <c r="J206" s="8" t="n"/>
      <c r="K206" s="6" t="n"/>
      <c r="L206" s="6" t="n"/>
      <c r="M206" s="6" t="n"/>
      <c r="N206" s="6" t="n"/>
    </row>
    <row r="207">
      <c r="A207" s="5" t="n"/>
      <c r="B207" s="5" t="n"/>
      <c r="C207" s="6" t="n"/>
      <c r="D207" s="6" t="n"/>
      <c r="E207" s="6" t="n"/>
      <c r="F207" s="6" t="n"/>
      <c r="G207" s="7" t="n"/>
      <c r="H207" s="8" t="n"/>
      <c r="I207" s="8" t="n"/>
      <c r="J207" s="8" t="n"/>
      <c r="K207" s="6" t="n"/>
      <c r="L207" s="6" t="n"/>
      <c r="M207" s="6" t="n"/>
      <c r="N207" s="6" t="n"/>
    </row>
    <row r="208">
      <c r="A208" s="5" t="n"/>
      <c r="B208" s="5" t="n"/>
      <c r="C208" s="6" t="n"/>
      <c r="D208" s="6" t="n"/>
      <c r="E208" s="6" t="n"/>
      <c r="F208" s="6" t="n"/>
      <c r="G208" s="7" t="n"/>
      <c r="H208" s="8" t="n"/>
      <c r="I208" s="8" t="n"/>
      <c r="J208" s="8" t="n"/>
      <c r="K208" s="6" t="n"/>
      <c r="L208" s="6" t="n"/>
      <c r="M208" s="6" t="n"/>
      <c r="N208" s="6" t="n"/>
    </row>
    <row r="209">
      <c r="A209" s="5" t="n"/>
      <c r="B209" s="5" t="n"/>
      <c r="C209" s="6" t="n"/>
      <c r="D209" s="6" t="n"/>
      <c r="E209" s="6" t="n"/>
      <c r="F209" s="6" t="n"/>
      <c r="G209" s="7" t="n"/>
      <c r="H209" s="8" t="n"/>
      <c r="I209" s="8" t="n"/>
      <c r="J209" s="8" t="n"/>
      <c r="K209" s="6" t="n"/>
      <c r="L209" s="6" t="n"/>
      <c r="M209" s="6" t="n"/>
      <c r="N209" s="6" t="n"/>
    </row>
    <row r="210">
      <c r="A210" s="5" t="n"/>
      <c r="B210" s="5" t="n"/>
      <c r="C210" s="6" t="n"/>
      <c r="D210" s="6" t="n"/>
      <c r="E210" s="6" t="n"/>
      <c r="F210" s="6" t="n"/>
      <c r="G210" s="7" t="n"/>
      <c r="H210" s="8" t="n"/>
      <c r="I210" s="8" t="n"/>
      <c r="J210" s="8" t="n"/>
      <c r="K210" s="6" t="n"/>
      <c r="L210" s="6" t="n"/>
      <c r="M210" s="6" t="n"/>
      <c r="N210" s="6" t="n"/>
    </row>
    <row r="211">
      <c r="A211" s="5" t="n"/>
      <c r="B211" s="5" t="n"/>
      <c r="C211" s="6" t="n"/>
      <c r="D211" s="6" t="n"/>
      <c r="E211" s="6" t="n"/>
      <c r="F211" s="6" t="n"/>
      <c r="G211" s="7" t="n"/>
      <c r="H211" s="8" t="n"/>
      <c r="I211" s="8" t="n"/>
      <c r="J211" s="8" t="n"/>
      <c r="K211" s="6" t="n"/>
      <c r="L211" s="6" t="n"/>
      <c r="M211" s="6" t="n"/>
      <c r="N211" s="6" t="n"/>
    </row>
    <row r="212">
      <c r="A212" s="5" t="n"/>
      <c r="B212" s="5" t="n"/>
      <c r="C212" s="6" t="n"/>
      <c r="D212" s="6" t="n"/>
      <c r="E212" s="6" t="n"/>
      <c r="F212" s="6" t="n"/>
      <c r="G212" s="7" t="n"/>
      <c r="H212" s="8" t="n"/>
      <c r="I212" s="8" t="n"/>
      <c r="J212" s="8" t="n"/>
      <c r="K212" s="6" t="n"/>
      <c r="L212" s="6" t="n"/>
      <c r="M212" s="6" t="n"/>
      <c r="N212" s="6" t="n"/>
    </row>
    <row r="213">
      <c r="A213" s="5" t="n"/>
      <c r="B213" s="5" t="n"/>
      <c r="C213" s="6" t="n"/>
      <c r="D213" s="6" t="n"/>
      <c r="E213" s="6" t="n"/>
      <c r="F213" s="6" t="n"/>
      <c r="G213" s="7" t="n"/>
      <c r="H213" s="8" t="n"/>
      <c r="I213" s="8" t="n"/>
      <c r="J213" s="8" t="n"/>
      <c r="K213" s="6" t="n"/>
      <c r="L213" s="6" t="n"/>
      <c r="M213" s="6" t="n"/>
      <c r="N213" s="6" t="n"/>
    </row>
    <row r="214">
      <c r="A214" s="5" t="n"/>
      <c r="B214" s="5" t="n"/>
      <c r="C214" s="6" t="n"/>
      <c r="D214" s="6" t="n"/>
      <c r="E214" s="6" t="n"/>
      <c r="F214" s="6" t="n"/>
      <c r="G214" s="7" t="n"/>
      <c r="H214" s="8" t="n"/>
      <c r="I214" s="8" t="n"/>
      <c r="J214" s="8" t="n"/>
      <c r="K214" s="6" t="n"/>
      <c r="L214" s="6" t="n"/>
      <c r="M214" s="6" t="n"/>
      <c r="N214" s="6" t="n"/>
    </row>
    <row r="215">
      <c r="A215" s="5" t="n"/>
      <c r="B215" s="5" t="n"/>
      <c r="C215" s="6" t="n"/>
      <c r="D215" s="6" t="n"/>
      <c r="E215" s="6" t="n"/>
      <c r="F215" s="6" t="n"/>
      <c r="G215" s="7" t="n"/>
      <c r="H215" s="8" t="n"/>
      <c r="I215" s="8" t="n"/>
      <c r="J215" s="8" t="n"/>
      <c r="K215" s="6" t="n"/>
      <c r="L215" s="6" t="n"/>
      <c r="M215" s="6" t="n"/>
      <c r="N215" s="6" t="n"/>
    </row>
    <row r="216">
      <c r="A216" s="5" t="n"/>
      <c r="B216" s="5" t="n"/>
      <c r="C216" s="6" t="n"/>
      <c r="D216" s="6" t="n"/>
      <c r="E216" s="6" t="n"/>
      <c r="F216" s="6" t="n"/>
      <c r="G216" s="7" t="n"/>
      <c r="H216" s="8" t="n"/>
      <c r="I216" s="8" t="n"/>
      <c r="J216" s="8" t="n"/>
      <c r="K216" s="6" t="n"/>
      <c r="L216" s="6" t="n"/>
      <c r="M216" s="6" t="n"/>
      <c r="N216" s="6" t="n"/>
    </row>
    <row r="217">
      <c r="A217" s="5" t="n"/>
      <c r="B217" s="5" t="n"/>
      <c r="C217" s="6" t="n"/>
      <c r="D217" s="6" t="n"/>
      <c r="E217" s="6" t="n"/>
      <c r="F217" s="6" t="n"/>
      <c r="G217" s="7" t="n"/>
      <c r="H217" s="8" t="n"/>
      <c r="I217" s="8" t="n"/>
      <c r="J217" s="8" t="n"/>
      <c r="K217" s="6" t="n"/>
      <c r="L217" s="6" t="n"/>
      <c r="M217" s="6" t="n"/>
      <c r="N217" s="6" t="n"/>
    </row>
    <row r="218">
      <c r="A218" s="5" t="n"/>
      <c r="B218" s="5" t="n"/>
      <c r="C218" s="6" t="n"/>
      <c r="D218" s="6" t="n"/>
      <c r="E218" s="6" t="n"/>
      <c r="F218" s="6" t="n"/>
      <c r="G218" s="7" t="n"/>
      <c r="H218" s="8" t="n"/>
      <c r="I218" s="8" t="n"/>
      <c r="J218" s="8" t="n"/>
      <c r="K218" s="6" t="n"/>
      <c r="L218" s="6" t="n"/>
      <c r="M218" s="6" t="n"/>
      <c r="N218" s="6" t="n"/>
    </row>
    <row r="219">
      <c r="A219" s="5" t="n"/>
      <c r="B219" s="5" t="n"/>
      <c r="C219" s="6" t="n"/>
      <c r="D219" s="6" t="n"/>
      <c r="E219" s="6" t="n"/>
      <c r="F219" s="6" t="n"/>
      <c r="G219" s="7" t="n"/>
      <c r="H219" s="8" t="n"/>
      <c r="I219" s="8" t="n"/>
      <c r="J219" s="8" t="n"/>
      <c r="K219" s="6" t="n"/>
      <c r="L219" s="6" t="n"/>
      <c r="M219" s="6" t="n"/>
      <c r="N219" s="6" t="n"/>
    </row>
    <row r="220">
      <c r="A220" s="5" t="n"/>
      <c r="B220" s="5" t="n"/>
      <c r="C220" s="6" t="n"/>
      <c r="D220" s="6" t="n"/>
      <c r="E220" s="6" t="n"/>
      <c r="F220" s="6" t="n"/>
      <c r="G220" s="7" t="n"/>
      <c r="H220" s="8" t="n"/>
      <c r="I220" s="8" t="n"/>
      <c r="J220" s="8" t="n"/>
      <c r="K220" s="6" t="n"/>
      <c r="L220" s="6" t="n"/>
      <c r="M220" s="6" t="n"/>
      <c r="N220" s="6" t="n"/>
    </row>
    <row r="221">
      <c r="A221" s="5" t="n"/>
      <c r="B221" s="5" t="n"/>
      <c r="C221" s="6" t="n"/>
      <c r="D221" s="6" t="n"/>
      <c r="E221" s="6" t="n"/>
      <c r="F221" s="6" t="n"/>
      <c r="G221" s="7" t="n"/>
      <c r="H221" s="8" t="n"/>
      <c r="I221" s="8" t="n"/>
      <c r="J221" s="8" t="n"/>
      <c r="K221" s="6" t="n"/>
      <c r="L221" s="6" t="n"/>
      <c r="M221" s="6" t="n"/>
      <c r="N221" s="6" t="n"/>
    </row>
    <row r="222">
      <c r="A222" s="5" t="n"/>
      <c r="B222" s="5" t="n"/>
      <c r="C222" s="6" t="n"/>
      <c r="D222" s="6" t="n"/>
      <c r="E222" s="6" t="n"/>
      <c r="F222" s="6" t="n"/>
      <c r="G222" s="7" t="n"/>
      <c r="H222" s="8" t="n"/>
      <c r="I222" s="8" t="n"/>
      <c r="J222" s="8" t="n"/>
      <c r="K222" s="6" t="n"/>
      <c r="L222" s="6" t="n"/>
      <c r="M222" s="6" t="n"/>
      <c r="N222" s="6" t="n"/>
    </row>
    <row r="223">
      <c r="A223" s="5" t="n"/>
      <c r="B223" s="5" t="n"/>
      <c r="C223" s="6" t="n"/>
      <c r="D223" s="6" t="n"/>
      <c r="E223" s="6" t="n"/>
      <c r="F223" s="6" t="n"/>
      <c r="G223" s="7" t="n"/>
      <c r="H223" s="8" t="n"/>
      <c r="I223" s="8" t="n"/>
      <c r="J223" s="8" t="n"/>
      <c r="K223" s="6" t="n"/>
      <c r="L223" s="6" t="n"/>
      <c r="M223" s="6" t="n"/>
      <c r="N223" s="6" t="n"/>
    </row>
    <row r="224">
      <c r="A224" s="5" t="n"/>
      <c r="B224" s="5" t="n"/>
      <c r="C224" s="6" t="n"/>
      <c r="D224" s="6" t="n"/>
      <c r="E224" s="6" t="n"/>
      <c r="F224" s="6" t="n"/>
      <c r="G224" s="7" t="n"/>
      <c r="H224" s="8" t="n"/>
      <c r="I224" s="8" t="n"/>
      <c r="J224" s="8" t="n"/>
      <c r="K224" s="6" t="n"/>
      <c r="L224" s="6" t="n"/>
      <c r="M224" s="6" t="n"/>
      <c r="N224" s="6" t="n"/>
    </row>
    <row r="225">
      <c r="A225" s="5" t="n"/>
      <c r="B225" s="5" t="n"/>
      <c r="C225" s="6" t="n"/>
      <c r="D225" s="6" t="n"/>
      <c r="E225" s="6" t="n"/>
      <c r="F225" s="6" t="n"/>
      <c r="G225" s="7" t="n"/>
      <c r="H225" s="8" t="n"/>
      <c r="I225" s="8" t="n"/>
      <c r="J225" s="8" t="n"/>
      <c r="K225" s="6" t="n"/>
      <c r="L225" s="6" t="n"/>
      <c r="M225" s="6" t="n"/>
      <c r="N225" s="6" t="n"/>
    </row>
    <row r="226">
      <c r="A226" s="5" t="n"/>
      <c r="B226" s="5" t="n"/>
      <c r="C226" s="6" t="n"/>
      <c r="D226" s="6" t="n"/>
      <c r="E226" s="6" t="n"/>
      <c r="F226" s="6" t="n"/>
      <c r="G226" s="7" t="n"/>
      <c r="H226" s="8" t="n"/>
      <c r="I226" s="8" t="n"/>
      <c r="J226" s="8" t="n"/>
      <c r="K226" s="6" t="n"/>
      <c r="L226" s="6" t="n"/>
      <c r="M226" s="6" t="n"/>
      <c r="N226" s="6" t="n"/>
    </row>
    <row r="227">
      <c r="A227" s="5" t="n"/>
      <c r="B227" s="5" t="n"/>
      <c r="C227" s="6" t="n"/>
      <c r="D227" s="6" t="n"/>
      <c r="E227" s="6" t="n"/>
      <c r="F227" s="6" t="n"/>
      <c r="G227" s="7" t="n"/>
      <c r="H227" s="8" t="n"/>
      <c r="I227" s="8" t="n"/>
      <c r="J227" s="8" t="n"/>
      <c r="K227" s="6" t="n"/>
      <c r="L227" s="6" t="n"/>
      <c r="M227" s="6" t="n"/>
      <c r="N227" s="6" t="n"/>
    </row>
    <row r="228">
      <c r="A228" s="5" t="n"/>
      <c r="B228" s="5" t="n"/>
      <c r="C228" s="6" t="n"/>
      <c r="D228" s="6" t="n"/>
      <c r="E228" s="6" t="n"/>
      <c r="F228" s="6" t="n"/>
      <c r="G228" s="7" t="n"/>
      <c r="H228" s="8" t="n"/>
      <c r="I228" s="8" t="n"/>
      <c r="J228" s="8" t="n"/>
      <c r="K228" s="6" t="n"/>
      <c r="L228" s="6" t="n"/>
      <c r="M228" s="6" t="n"/>
      <c r="N228" s="6" t="n"/>
    </row>
    <row r="229">
      <c r="A229" s="5" t="n"/>
      <c r="B229" s="5" t="n"/>
      <c r="C229" s="6" t="n"/>
      <c r="D229" s="6" t="n"/>
      <c r="E229" s="6" t="n"/>
      <c r="F229" s="6" t="n"/>
      <c r="G229" s="7" t="n"/>
      <c r="H229" s="8" t="n"/>
      <c r="I229" s="8" t="n"/>
      <c r="J229" s="8" t="n"/>
      <c r="K229" s="6" t="n"/>
      <c r="L229" s="6" t="n"/>
      <c r="M229" s="6" t="n"/>
      <c r="N229" s="6" t="n"/>
    </row>
    <row r="230">
      <c r="A230" s="5" t="n"/>
      <c r="B230" s="5" t="n"/>
      <c r="C230" s="6" t="n"/>
      <c r="D230" s="6" t="n"/>
      <c r="E230" s="6" t="n"/>
      <c r="F230" s="6" t="n"/>
      <c r="G230" s="7" t="n"/>
      <c r="H230" s="8" t="n"/>
      <c r="I230" s="8" t="n"/>
      <c r="J230" s="8" t="n"/>
      <c r="K230" s="6" t="n"/>
      <c r="L230" s="6" t="n"/>
      <c r="M230" s="6" t="n"/>
      <c r="N230" s="6" t="n"/>
    </row>
    <row r="231">
      <c r="A231" s="5" t="n"/>
      <c r="B231" s="5" t="n"/>
      <c r="C231" s="6" t="n"/>
      <c r="D231" s="6" t="n"/>
      <c r="E231" s="6" t="n"/>
      <c r="F231" s="6" t="n"/>
      <c r="G231" s="7" t="n"/>
      <c r="H231" s="8" t="n"/>
      <c r="I231" s="8" t="n"/>
      <c r="J231" s="8" t="n"/>
      <c r="K231" s="6" t="n"/>
      <c r="L231" s="6" t="n"/>
      <c r="M231" s="6" t="n"/>
      <c r="N231" s="6" t="n"/>
    </row>
    <row r="232">
      <c r="A232" s="5" t="n"/>
      <c r="B232" s="5" t="n"/>
      <c r="C232" s="6" t="n"/>
      <c r="D232" s="6" t="n"/>
      <c r="E232" s="6" t="n"/>
      <c r="F232" s="6" t="n"/>
      <c r="G232" s="7" t="n"/>
      <c r="H232" s="8" t="n"/>
      <c r="I232" s="8" t="n"/>
      <c r="J232" s="8" t="n"/>
      <c r="K232" s="6" t="n"/>
      <c r="L232" s="6" t="n"/>
      <c r="M232" s="6" t="n"/>
      <c r="N232" s="6" t="n"/>
    </row>
    <row r="233">
      <c r="A233" s="5" t="n"/>
      <c r="B233" s="5" t="n"/>
      <c r="C233" s="6" t="n"/>
      <c r="D233" s="6" t="n"/>
      <c r="E233" s="6" t="n"/>
      <c r="F233" s="6" t="n"/>
      <c r="G233" s="7" t="n"/>
      <c r="H233" s="8" t="n"/>
      <c r="I233" s="8" t="n"/>
      <c r="J233" s="8" t="n"/>
      <c r="K233" s="6" t="n"/>
      <c r="L233" s="6" t="n"/>
      <c r="M233" s="6" t="n"/>
      <c r="N233" s="6" t="n"/>
    </row>
    <row r="234">
      <c r="A234" s="5" t="n"/>
      <c r="B234" s="5" t="n"/>
      <c r="C234" s="6" t="n"/>
      <c r="D234" s="6" t="n"/>
      <c r="E234" s="6" t="n"/>
      <c r="F234" s="6" t="n"/>
      <c r="G234" s="7" t="n"/>
      <c r="H234" s="8" t="n"/>
      <c r="I234" s="8" t="n"/>
      <c r="J234" s="8" t="n"/>
      <c r="K234" s="6" t="n"/>
      <c r="L234" s="6" t="n"/>
      <c r="M234" s="6" t="n"/>
      <c r="N234" s="6" t="n"/>
    </row>
    <row r="235">
      <c r="A235" s="5" t="n"/>
      <c r="B235" s="5" t="n"/>
      <c r="C235" s="6" t="n"/>
      <c r="D235" s="6" t="n"/>
      <c r="E235" s="6" t="n"/>
      <c r="F235" s="6" t="n"/>
      <c r="G235" s="7" t="n"/>
      <c r="H235" s="8" t="n"/>
      <c r="I235" s="8" t="n"/>
      <c r="J235" s="8" t="n"/>
      <c r="K235" s="6" t="n"/>
      <c r="L235" s="6" t="n"/>
      <c r="M235" s="6" t="n"/>
      <c r="N235" s="6" t="n"/>
    </row>
    <row r="236">
      <c r="A236" s="5" t="n"/>
      <c r="B236" s="5" t="n"/>
      <c r="C236" s="6" t="n"/>
      <c r="D236" s="6" t="n"/>
      <c r="E236" s="6" t="n"/>
      <c r="F236" s="6" t="n"/>
      <c r="G236" s="7" t="n"/>
      <c r="H236" s="8" t="n"/>
      <c r="I236" s="8" t="n"/>
      <c r="J236" s="8" t="n"/>
      <c r="K236" s="6" t="n"/>
      <c r="L236" s="6" t="n"/>
      <c r="M236" s="6" t="n"/>
      <c r="N236" s="6" t="n"/>
    </row>
    <row r="237">
      <c r="A237" s="5" t="n"/>
      <c r="B237" s="5" t="n"/>
      <c r="C237" s="6" t="n"/>
      <c r="D237" s="6" t="n"/>
      <c r="E237" s="6" t="n"/>
      <c r="F237" s="6" t="n"/>
      <c r="G237" s="7" t="n"/>
      <c r="H237" s="8" t="n"/>
      <c r="I237" s="8" t="n"/>
      <c r="J237" s="8" t="n"/>
      <c r="K237" s="6" t="n"/>
      <c r="L237" s="6" t="n"/>
      <c r="M237" s="6" t="n"/>
      <c r="N237" s="6" t="n"/>
    </row>
    <row r="238">
      <c r="A238" s="5" t="n"/>
      <c r="B238" s="5" t="n"/>
      <c r="C238" s="6" t="n"/>
      <c r="D238" s="6" t="n"/>
      <c r="E238" s="6" t="n"/>
      <c r="F238" s="6" t="n"/>
      <c r="G238" s="7" t="n"/>
      <c r="H238" s="8" t="n"/>
      <c r="I238" s="8" t="n"/>
      <c r="J238" s="8" t="n"/>
      <c r="K238" s="6" t="n"/>
      <c r="L238" s="6" t="n"/>
      <c r="M238" s="6" t="n"/>
      <c r="N238" s="6" t="n"/>
    </row>
    <row r="239">
      <c r="A239" s="5" t="n"/>
      <c r="B239" s="5" t="n"/>
      <c r="C239" s="6" t="n"/>
      <c r="D239" s="6" t="n"/>
      <c r="E239" s="6" t="n"/>
      <c r="F239" s="6" t="n"/>
      <c r="G239" s="7" t="n"/>
      <c r="H239" s="8" t="n"/>
      <c r="I239" s="8" t="n"/>
      <c r="J239" s="8" t="n"/>
      <c r="K239" s="6" t="n"/>
      <c r="L239" s="6" t="n"/>
      <c r="M239" s="6" t="n"/>
      <c r="N239" s="6" t="n"/>
    </row>
    <row r="240">
      <c r="A240" s="5" t="n"/>
      <c r="B240" s="5" t="n"/>
      <c r="C240" s="6" t="n"/>
      <c r="D240" s="6" t="n"/>
      <c r="E240" s="6" t="n"/>
      <c r="F240" s="6" t="n"/>
      <c r="G240" s="7" t="n"/>
      <c r="H240" s="8" t="n"/>
      <c r="I240" s="8" t="n"/>
      <c r="J240" s="8" t="n"/>
      <c r="K240" s="6" t="n"/>
      <c r="L240" s="6" t="n"/>
      <c r="M240" s="6" t="n"/>
      <c r="N240" s="6" t="n"/>
    </row>
    <row r="241">
      <c r="A241" s="5" t="n"/>
      <c r="B241" s="5" t="n"/>
      <c r="C241" s="6" t="n"/>
      <c r="D241" s="6" t="n"/>
      <c r="E241" s="6" t="n"/>
      <c r="F241" s="6" t="n"/>
      <c r="G241" s="7" t="n"/>
      <c r="H241" s="8" t="n"/>
      <c r="I241" s="8" t="n"/>
      <c r="J241" s="8" t="n"/>
      <c r="K241" s="6" t="n"/>
      <c r="L241" s="6" t="n"/>
      <c r="M241" s="6" t="n"/>
      <c r="N241" s="6" t="n"/>
    </row>
    <row r="242">
      <c r="A242" s="5" t="n"/>
      <c r="B242" s="5" t="n"/>
      <c r="C242" s="6" t="n"/>
      <c r="D242" s="6" t="n"/>
      <c r="E242" s="6" t="n"/>
      <c r="F242" s="6" t="n"/>
      <c r="G242" s="7" t="n"/>
      <c r="H242" s="8" t="n"/>
      <c r="I242" s="8" t="n"/>
      <c r="J242" s="8" t="n"/>
      <c r="K242" s="6" t="n"/>
      <c r="L242" s="6" t="n"/>
      <c r="M242" s="6" t="n"/>
      <c r="N242" s="6" t="n"/>
    </row>
    <row r="243">
      <c r="A243" s="5" t="n"/>
      <c r="B243" s="5" t="n"/>
      <c r="C243" s="6" t="n"/>
      <c r="D243" s="6" t="n"/>
      <c r="E243" s="6" t="n"/>
      <c r="F243" s="6" t="n"/>
      <c r="G243" s="7" t="n"/>
      <c r="H243" s="8" t="n"/>
      <c r="I243" s="8" t="n"/>
      <c r="J243" s="8" t="n"/>
      <c r="K243" s="6" t="n"/>
      <c r="L243" s="6" t="n"/>
      <c r="M243" s="6" t="n"/>
      <c r="N243" s="6" t="n"/>
    </row>
    <row r="244">
      <c r="A244" s="5" t="n"/>
      <c r="B244" s="5" t="n"/>
      <c r="C244" s="6" t="n"/>
      <c r="D244" s="6" t="n"/>
      <c r="E244" s="6" t="n"/>
      <c r="F244" s="6" t="n"/>
      <c r="G244" s="7" t="n"/>
      <c r="H244" s="8" t="n"/>
      <c r="I244" s="8" t="n"/>
      <c r="J244" s="8" t="n"/>
      <c r="K244" s="6" t="n"/>
      <c r="L244" s="6" t="n"/>
      <c r="M244" s="6" t="n"/>
      <c r="N244" s="6" t="n"/>
    </row>
    <row r="245">
      <c r="A245" s="5" t="n"/>
      <c r="B245" s="5" t="n"/>
      <c r="C245" s="6" t="n"/>
      <c r="D245" s="6" t="n"/>
      <c r="E245" s="6" t="n"/>
      <c r="F245" s="6" t="n"/>
      <c r="G245" s="7" t="n"/>
      <c r="H245" s="8" t="n"/>
      <c r="I245" s="8" t="n"/>
      <c r="J245" s="8" t="n"/>
      <c r="K245" s="6" t="n"/>
      <c r="L245" s="6" t="n"/>
      <c r="M245" s="6" t="n"/>
      <c r="N245" s="6" t="n"/>
    </row>
    <row r="246">
      <c r="A246" s="5" t="n"/>
      <c r="B246" s="5" t="n"/>
      <c r="C246" s="6" t="n"/>
      <c r="D246" s="6" t="n"/>
      <c r="E246" s="6" t="n"/>
      <c r="F246" s="6" t="n"/>
      <c r="G246" s="7" t="n"/>
      <c r="H246" s="8" t="n"/>
      <c r="I246" s="8" t="n"/>
      <c r="J246" s="8" t="n"/>
      <c r="K246" s="6" t="n"/>
      <c r="L246" s="6" t="n"/>
      <c r="M246" s="6" t="n"/>
      <c r="N246" s="6" t="n"/>
    </row>
    <row r="247">
      <c r="A247" s="5" t="n"/>
      <c r="B247" s="5" t="n"/>
      <c r="C247" s="6" t="n"/>
      <c r="D247" s="6" t="n"/>
      <c r="E247" s="6" t="n"/>
      <c r="F247" s="6" t="n"/>
      <c r="G247" s="7" t="n"/>
      <c r="H247" s="8" t="n"/>
      <c r="I247" s="8" t="n"/>
      <c r="J247" s="8" t="n"/>
      <c r="K247" s="6" t="n"/>
      <c r="L247" s="6" t="n"/>
      <c r="M247" s="6" t="n"/>
      <c r="N247" s="6" t="n"/>
    </row>
    <row r="248">
      <c r="A248" s="5" t="n"/>
      <c r="B248" s="5" t="n"/>
      <c r="C248" s="6" t="n"/>
      <c r="D248" s="6" t="n"/>
      <c r="E248" s="6" t="n"/>
      <c r="F248" s="6" t="n"/>
      <c r="G248" s="7" t="n"/>
      <c r="H248" s="8" t="n"/>
      <c r="I248" s="8" t="n"/>
      <c r="J248" s="8" t="n"/>
      <c r="K248" s="6" t="n"/>
      <c r="L248" s="6" t="n"/>
      <c r="M248" s="6" t="n"/>
      <c r="N248" s="6" t="n"/>
    </row>
    <row r="249">
      <c r="A249" s="5" t="n"/>
      <c r="B249" s="5" t="n"/>
      <c r="C249" s="6" t="n"/>
      <c r="D249" s="6" t="n"/>
      <c r="E249" s="6" t="n"/>
      <c r="F249" s="6" t="n"/>
      <c r="G249" s="7" t="n"/>
      <c r="H249" s="8" t="n"/>
      <c r="I249" s="8" t="n"/>
      <c r="J249" s="8" t="n"/>
      <c r="K249" s="6" t="n"/>
      <c r="L249" s="6" t="n"/>
      <c r="M249" s="6" t="n"/>
      <c r="N249" s="6" t="n"/>
    </row>
    <row r="250">
      <c r="A250" s="5" t="n"/>
      <c r="B250" s="5" t="n"/>
      <c r="C250" s="6" t="n"/>
      <c r="D250" s="6" t="n"/>
      <c r="E250" s="6" t="n"/>
      <c r="F250" s="6" t="n"/>
      <c r="G250" s="7" t="n"/>
      <c r="H250" s="8" t="n"/>
      <c r="I250" s="8" t="n"/>
      <c r="J250" s="8" t="n"/>
      <c r="K250" s="6" t="n"/>
      <c r="L250" s="6" t="n"/>
      <c r="M250" s="6" t="n"/>
      <c r="N250" s="6" t="n"/>
    </row>
    <row r="251">
      <c r="A251" s="5" t="n"/>
      <c r="B251" s="5" t="n"/>
      <c r="C251" s="6" t="n"/>
      <c r="D251" s="6" t="n"/>
      <c r="E251" s="6" t="n"/>
      <c r="F251" s="6" t="n"/>
      <c r="G251" s="7" t="n"/>
      <c r="H251" s="8" t="n"/>
      <c r="I251" s="8" t="n"/>
      <c r="J251" s="8" t="n"/>
      <c r="K251" s="6" t="n"/>
      <c r="L251" s="6" t="n"/>
      <c r="M251" s="6" t="n"/>
      <c r="N251" s="6" t="n"/>
    </row>
    <row r="252">
      <c r="A252" s="5" t="n"/>
      <c r="B252" s="5" t="n"/>
      <c r="C252" s="6" t="n"/>
      <c r="D252" s="6" t="n"/>
      <c r="E252" s="6" t="n"/>
      <c r="F252" s="6" t="n"/>
      <c r="G252" s="7" t="n"/>
      <c r="H252" s="8" t="n"/>
      <c r="I252" s="8" t="n"/>
      <c r="J252" s="8" t="n"/>
      <c r="K252" s="6" t="n"/>
      <c r="L252" s="6" t="n"/>
      <c r="M252" s="6" t="n"/>
      <c r="N252" s="6" t="n"/>
    </row>
    <row r="253">
      <c r="A253" s="5" t="n"/>
      <c r="B253" s="5" t="n"/>
      <c r="C253" s="6" t="n"/>
      <c r="D253" s="6" t="n"/>
      <c r="E253" s="6" t="n"/>
      <c r="F253" s="6" t="n"/>
      <c r="G253" s="7" t="n"/>
      <c r="H253" s="8" t="n"/>
      <c r="I253" s="8" t="n"/>
      <c r="J253" s="8" t="n"/>
      <c r="K253" s="6" t="n"/>
      <c r="L253" s="6" t="n"/>
      <c r="M253" s="6" t="n"/>
      <c r="N253" s="6" t="n"/>
    </row>
    <row r="254">
      <c r="A254" s="5" t="n"/>
      <c r="B254" s="5" t="n"/>
      <c r="C254" s="6" t="n"/>
      <c r="D254" s="6" t="n"/>
      <c r="E254" s="6" t="n"/>
      <c r="F254" s="6" t="n"/>
      <c r="G254" s="7" t="n"/>
      <c r="H254" s="8" t="n"/>
      <c r="I254" s="8" t="n"/>
      <c r="J254" s="8" t="n"/>
      <c r="K254" s="6" t="n"/>
      <c r="L254" s="6" t="n"/>
      <c r="M254" s="6" t="n"/>
      <c r="N254" s="6" t="n"/>
    </row>
    <row r="255">
      <c r="A255" s="5" t="n"/>
      <c r="B255" s="5" t="n"/>
      <c r="C255" s="6" t="n"/>
      <c r="D255" s="6" t="n"/>
      <c r="E255" s="6" t="n"/>
      <c r="F255" s="6" t="n"/>
      <c r="G255" s="7" t="n"/>
      <c r="H255" s="8" t="n"/>
      <c r="I255" s="8" t="n"/>
      <c r="J255" s="8" t="n"/>
      <c r="K255" s="6" t="n"/>
      <c r="L255" s="6" t="n"/>
      <c r="M255" s="6" t="n"/>
      <c r="N255" s="6" t="n"/>
    </row>
    <row r="256">
      <c r="A256" s="5" t="n"/>
      <c r="B256" s="5" t="n"/>
      <c r="C256" s="6" t="n"/>
      <c r="D256" s="6" t="n"/>
      <c r="E256" s="6" t="n"/>
      <c r="F256" s="6" t="n"/>
      <c r="G256" s="7" t="n"/>
      <c r="H256" s="8" t="n"/>
      <c r="I256" s="8" t="n"/>
      <c r="J256" s="8" t="n"/>
      <c r="K256" s="6" t="n"/>
      <c r="L256" s="6" t="n"/>
      <c r="M256" s="6" t="n"/>
      <c r="N256" s="6" t="n"/>
    </row>
    <row r="257">
      <c r="A257" s="5" t="n"/>
      <c r="B257" s="5" t="n"/>
      <c r="C257" s="6" t="n"/>
      <c r="D257" s="6" t="n"/>
      <c r="E257" s="6" t="n"/>
      <c r="F257" s="6" t="n"/>
      <c r="G257" s="7" t="n"/>
      <c r="H257" s="8" t="n"/>
      <c r="I257" s="8" t="n"/>
      <c r="J257" s="8" t="n"/>
      <c r="K257" s="6" t="n"/>
      <c r="L257" s="6" t="n"/>
      <c r="M257" s="6" t="n"/>
      <c r="N257" s="6" t="n"/>
    </row>
    <row r="258">
      <c r="A258" s="5" t="n"/>
      <c r="B258" s="5" t="n"/>
      <c r="C258" s="6" t="n"/>
      <c r="D258" s="6" t="n"/>
      <c r="E258" s="6" t="n"/>
      <c r="F258" s="6" t="n"/>
      <c r="G258" s="7" t="n"/>
      <c r="H258" s="8" t="n"/>
      <c r="I258" s="8" t="n"/>
      <c r="J258" s="8" t="n"/>
      <c r="K258" s="6" t="n"/>
      <c r="L258" s="6" t="n"/>
      <c r="M258" s="6" t="n"/>
      <c r="N258" s="6" t="n"/>
    </row>
    <row r="259">
      <c r="A259" s="5" t="n"/>
      <c r="B259" s="5" t="n"/>
      <c r="C259" s="6" t="n"/>
      <c r="D259" s="6" t="n"/>
      <c r="E259" s="6" t="n"/>
      <c r="F259" s="6" t="n"/>
      <c r="G259" s="7" t="n"/>
      <c r="H259" s="8" t="n"/>
      <c r="I259" s="8" t="n"/>
      <c r="J259" s="8" t="n"/>
      <c r="K259" s="6" t="n"/>
      <c r="L259" s="6" t="n"/>
      <c r="M259" s="6" t="n"/>
      <c r="N259" s="6" t="n"/>
    </row>
    <row r="260">
      <c r="A260" s="5" t="n"/>
      <c r="B260" s="5" t="n"/>
      <c r="C260" s="6" t="n"/>
      <c r="D260" s="6" t="n"/>
      <c r="E260" s="6" t="n"/>
      <c r="F260" s="6" t="n"/>
      <c r="G260" s="7" t="n"/>
      <c r="H260" s="8" t="n"/>
      <c r="I260" s="8" t="n"/>
      <c r="J260" s="8" t="n"/>
      <c r="K260" s="6" t="n"/>
      <c r="L260" s="6" t="n"/>
      <c r="M260" s="6" t="n"/>
      <c r="N260" s="6" t="n"/>
    </row>
    <row r="261">
      <c r="A261" s="5" t="n"/>
      <c r="B261" s="5" t="n"/>
      <c r="C261" s="6" t="n"/>
      <c r="D261" s="6" t="n"/>
      <c r="E261" s="6" t="n"/>
      <c r="F261" s="6" t="n"/>
      <c r="G261" s="7" t="n"/>
      <c r="H261" s="8" t="n"/>
      <c r="I261" s="8" t="n"/>
      <c r="J261" s="8" t="n"/>
      <c r="K261" s="6" t="n"/>
      <c r="L261" s="6" t="n"/>
      <c r="M261" s="6" t="n"/>
      <c r="N261" s="6" t="n"/>
    </row>
    <row r="262">
      <c r="A262" s="5" t="n"/>
      <c r="B262" s="5" t="n"/>
      <c r="C262" s="6" t="n"/>
      <c r="D262" s="6" t="n"/>
      <c r="E262" s="6" t="n"/>
      <c r="F262" s="6" t="n"/>
      <c r="G262" s="7" t="n"/>
      <c r="H262" s="8" t="n"/>
      <c r="I262" s="8" t="n"/>
      <c r="J262" s="8" t="n"/>
      <c r="K262" s="6" t="n"/>
      <c r="L262" s="6" t="n"/>
      <c r="M262" s="6" t="n"/>
      <c r="N262" s="6" t="n"/>
    </row>
    <row r="263">
      <c r="A263" s="5" t="n"/>
      <c r="B263" s="5" t="n"/>
      <c r="C263" s="6" t="n"/>
      <c r="D263" s="6" t="n"/>
      <c r="E263" s="6" t="n"/>
      <c r="F263" s="6" t="n"/>
      <c r="G263" s="7" t="n"/>
      <c r="H263" s="8" t="n"/>
      <c r="I263" s="8" t="n"/>
      <c r="J263" s="8" t="n"/>
      <c r="K263" s="6" t="n"/>
      <c r="L263" s="6" t="n"/>
      <c r="M263" s="6" t="n"/>
      <c r="N263" s="6" t="n"/>
    </row>
    <row r="264">
      <c r="A264" s="5" t="n"/>
      <c r="B264" s="5" t="n"/>
      <c r="C264" s="6" t="n"/>
      <c r="D264" s="6" t="n"/>
      <c r="E264" s="6" t="n"/>
      <c r="F264" s="6" t="n"/>
      <c r="G264" s="7" t="n"/>
      <c r="H264" s="8" t="n"/>
      <c r="I264" s="8" t="n"/>
      <c r="J264" s="8" t="n"/>
      <c r="K264" s="6" t="n"/>
      <c r="L264" s="6" t="n"/>
      <c r="M264" s="6" t="n"/>
      <c r="N264" s="6" t="n"/>
    </row>
    <row r="265">
      <c r="A265" s="5" t="n"/>
      <c r="B265" s="5" t="n"/>
      <c r="C265" s="6" t="n"/>
      <c r="D265" s="6" t="n"/>
      <c r="E265" s="6" t="n"/>
      <c r="F265" s="6" t="n"/>
      <c r="G265" s="7" t="n"/>
      <c r="H265" s="8" t="n"/>
      <c r="I265" s="8" t="n"/>
      <c r="J265" s="8" t="n"/>
      <c r="K265" s="6" t="n"/>
      <c r="L265" s="6" t="n"/>
      <c r="M265" s="6" t="n"/>
      <c r="N265" s="6" t="n"/>
    </row>
    <row r="266">
      <c r="A266" s="5" t="n"/>
      <c r="B266" s="5" t="n"/>
      <c r="C266" s="6" t="n"/>
      <c r="D266" s="6" t="n"/>
      <c r="E266" s="6" t="n"/>
      <c r="F266" s="6" t="n"/>
      <c r="G266" s="7" t="n"/>
      <c r="H266" s="8" t="n"/>
      <c r="I266" s="8" t="n"/>
      <c r="J266" s="8" t="n"/>
      <c r="K266" s="6" t="n"/>
      <c r="L266" s="6" t="n"/>
      <c r="M266" s="6" t="n"/>
      <c r="N266" s="6" t="n"/>
    </row>
    <row r="267">
      <c r="A267" s="5" t="n"/>
      <c r="B267" s="5" t="n"/>
      <c r="C267" s="6" t="n"/>
      <c r="D267" s="6" t="n"/>
      <c r="E267" s="6" t="n"/>
      <c r="F267" s="6" t="n"/>
      <c r="G267" s="7" t="n"/>
      <c r="H267" s="8" t="n"/>
      <c r="I267" s="8" t="n"/>
      <c r="J267" s="8" t="n"/>
      <c r="K267" s="6" t="n"/>
      <c r="L267" s="6" t="n"/>
      <c r="M267" s="6" t="n"/>
      <c r="N267" s="6" t="n"/>
    </row>
    <row r="268">
      <c r="A268" s="5" t="n"/>
      <c r="B268" s="5" t="n"/>
      <c r="C268" s="6" t="n"/>
      <c r="D268" s="6" t="n"/>
      <c r="E268" s="6" t="n"/>
      <c r="F268" s="6" t="n"/>
      <c r="G268" s="7" t="n"/>
      <c r="H268" s="8" t="n"/>
      <c r="I268" s="8" t="n"/>
      <c r="J268" s="8" t="n"/>
      <c r="K268" s="6" t="n"/>
      <c r="L268" s="6" t="n"/>
      <c r="M268" s="6" t="n"/>
      <c r="N268" s="6" t="n"/>
    </row>
    <row r="269">
      <c r="A269" s="5" t="n"/>
      <c r="B269" s="5" t="n"/>
      <c r="C269" s="6" t="n"/>
      <c r="D269" s="6" t="n"/>
      <c r="E269" s="6" t="n"/>
      <c r="F269" s="6" t="n"/>
      <c r="G269" s="7" t="n"/>
      <c r="H269" s="8" t="n"/>
      <c r="I269" s="8" t="n"/>
      <c r="J269" s="8" t="n"/>
      <c r="K269" s="6" t="n"/>
      <c r="L269" s="6" t="n"/>
      <c r="M269" s="6" t="n"/>
      <c r="N269" s="6" t="n"/>
    </row>
    <row r="270">
      <c r="A270" s="5" t="n"/>
      <c r="B270" s="5" t="n"/>
      <c r="C270" s="6" t="n"/>
      <c r="D270" s="6" t="n"/>
      <c r="E270" s="6" t="n"/>
      <c r="F270" s="6" t="n"/>
      <c r="G270" s="7" t="n"/>
      <c r="H270" s="8" t="n"/>
      <c r="I270" s="8" t="n"/>
      <c r="J270" s="8" t="n"/>
      <c r="K270" s="6" t="n"/>
      <c r="L270" s="6" t="n"/>
      <c r="M270" s="6" t="n"/>
      <c r="N270" s="6" t="n"/>
    </row>
    <row r="271">
      <c r="A271" s="5" t="n"/>
      <c r="B271" s="5" t="n"/>
      <c r="C271" s="6" t="n"/>
      <c r="D271" s="6" t="n"/>
      <c r="E271" s="6" t="n"/>
      <c r="F271" s="6" t="n"/>
      <c r="G271" s="7" t="n"/>
      <c r="H271" s="8" t="n"/>
      <c r="I271" s="8" t="n"/>
      <c r="J271" s="8" t="n"/>
      <c r="K271" s="6" t="n"/>
      <c r="L271" s="6" t="n"/>
      <c r="M271" s="6" t="n"/>
      <c r="N271" s="6" t="n"/>
    </row>
    <row r="272">
      <c r="A272" s="5" t="n"/>
      <c r="B272" s="5" t="n"/>
      <c r="C272" s="6" t="n"/>
      <c r="D272" s="6" t="n"/>
      <c r="E272" s="6" t="n"/>
      <c r="F272" s="6" t="n"/>
      <c r="G272" s="7" t="n"/>
      <c r="H272" s="8" t="n"/>
      <c r="I272" s="8" t="n"/>
      <c r="J272" s="8" t="n"/>
      <c r="K272" s="6" t="n"/>
      <c r="L272" s="6" t="n"/>
      <c r="M272" s="6" t="n"/>
      <c r="N272" s="6" t="n"/>
    </row>
    <row r="273">
      <c r="A273" s="5" t="n"/>
      <c r="B273" s="5" t="n"/>
      <c r="C273" s="6" t="n"/>
      <c r="D273" s="6" t="n"/>
      <c r="E273" s="6" t="n"/>
      <c r="F273" s="6" t="n"/>
      <c r="G273" s="7" t="n"/>
      <c r="H273" s="8" t="n"/>
      <c r="I273" s="8" t="n"/>
      <c r="J273" s="8" t="n"/>
      <c r="K273" s="6" t="n"/>
      <c r="L273" s="6" t="n"/>
      <c r="M273" s="6" t="n"/>
      <c r="N273" s="6" t="n"/>
    </row>
    <row r="274">
      <c r="A274" s="5" t="n"/>
      <c r="B274" s="5" t="n"/>
      <c r="C274" s="6" t="n"/>
      <c r="D274" s="6" t="n"/>
      <c r="E274" s="6" t="n"/>
      <c r="F274" s="6" t="n"/>
      <c r="G274" s="7" t="n"/>
      <c r="H274" s="8" t="n"/>
      <c r="I274" s="8" t="n"/>
      <c r="J274" s="8" t="n"/>
      <c r="K274" s="6" t="n"/>
      <c r="L274" s="6" t="n"/>
      <c r="M274" s="6" t="n"/>
      <c r="N274" s="6" t="n"/>
    </row>
    <row r="275">
      <c r="A275" s="5" t="n"/>
      <c r="B275" s="5" t="n"/>
      <c r="C275" s="6" t="n"/>
      <c r="D275" s="6" t="n"/>
      <c r="E275" s="6" t="n"/>
      <c r="F275" s="6" t="n"/>
      <c r="G275" s="7" t="n"/>
      <c r="H275" s="8" t="n"/>
      <c r="I275" s="8" t="n"/>
      <c r="J275" s="8" t="n"/>
      <c r="K275" s="6" t="n"/>
      <c r="L275" s="6" t="n"/>
      <c r="M275" s="6" t="n"/>
      <c r="N275" s="6" t="n"/>
    </row>
    <row r="276">
      <c r="A276" s="5" t="n"/>
      <c r="B276" s="5" t="n"/>
      <c r="C276" s="6" t="n"/>
      <c r="D276" s="6" t="n"/>
      <c r="E276" s="6" t="n"/>
      <c r="F276" s="6" t="n"/>
      <c r="G276" s="7" t="n"/>
      <c r="H276" s="8" t="n"/>
      <c r="I276" s="8" t="n"/>
      <c r="J276" s="8" t="n"/>
      <c r="K276" s="6" t="n"/>
      <c r="L276" s="6" t="n"/>
      <c r="M276" s="6" t="n"/>
      <c r="N276" s="6" t="n"/>
    </row>
    <row r="277">
      <c r="A277" s="5" t="n"/>
      <c r="B277" s="5" t="n"/>
      <c r="C277" s="6" t="n"/>
      <c r="D277" s="6" t="n"/>
      <c r="E277" s="6" t="n"/>
      <c r="F277" s="6" t="n"/>
      <c r="G277" s="7" t="n"/>
      <c r="H277" s="8" t="n"/>
      <c r="I277" s="8" t="n"/>
      <c r="J277" s="8" t="n"/>
      <c r="K277" s="6" t="n"/>
      <c r="L277" s="6" t="n"/>
      <c r="M277" s="6" t="n"/>
      <c r="N277" s="6" t="n"/>
    </row>
    <row r="278">
      <c r="A278" s="5" t="n"/>
      <c r="B278" s="5" t="n"/>
      <c r="C278" s="6" t="n"/>
      <c r="D278" s="6" t="n"/>
      <c r="E278" s="6" t="n"/>
      <c r="F278" s="6" t="n"/>
      <c r="G278" s="7" t="n"/>
      <c r="H278" s="8" t="n"/>
      <c r="I278" s="8" t="n"/>
      <c r="J278" s="8" t="n"/>
      <c r="K278" s="6" t="n"/>
      <c r="L278" s="6" t="n"/>
      <c r="M278" s="6" t="n"/>
      <c r="N278" s="6" t="n"/>
    </row>
    <row r="279">
      <c r="A279" s="5" t="n"/>
      <c r="B279" s="5" t="n"/>
      <c r="C279" s="6" t="n"/>
      <c r="D279" s="6" t="n"/>
      <c r="E279" s="6" t="n"/>
      <c r="F279" s="6" t="n"/>
      <c r="G279" s="7" t="n"/>
      <c r="H279" s="8" t="n"/>
      <c r="I279" s="8" t="n"/>
      <c r="J279" s="8" t="n"/>
      <c r="K279" s="6" t="n"/>
      <c r="L279" s="6" t="n"/>
      <c r="M279" s="6" t="n"/>
      <c r="N279" s="6" t="n"/>
    </row>
    <row r="280">
      <c r="A280" s="5" t="n"/>
      <c r="B280" s="5" t="n"/>
      <c r="C280" s="6" t="n"/>
      <c r="D280" s="6" t="n"/>
      <c r="E280" s="6" t="n"/>
      <c r="F280" s="6" t="n"/>
      <c r="G280" s="7" t="n"/>
      <c r="H280" s="8" t="n"/>
      <c r="I280" s="8" t="n"/>
      <c r="J280" s="8" t="n"/>
      <c r="K280" s="6" t="n"/>
      <c r="L280" s="6" t="n"/>
      <c r="M280" s="6" t="n"/>
      <c r="N280" s="6" t="n"/>
    </row>
    <row r="281">
      <c r="A281" s="5" t="n"/>
      <c r="B281" s="5" t="n"/>
      <c r="C281" s="6" t="n"/>
      <c r="D281" s="6" t="n"/>
      <c r="E281" s="6" t="n"/>
      <c r="F281" s="6" t="n"/>
      <c r="G281" s="7" t="n"/>
      <c r="H281" s="8" t="n"/>
      <c r="I281" s="8" t="n"/>
      <c r="J281" s="8" t="n"/>
      <c r="K281" s="6" t="n"/>
      <c r="L281" s="6" t="n"/>
      <c r="M281" s="6" t="n"/>
      <c r="N281" s="6" t="n"/>
    </row>
    <row r="282">
      <c r="A282" s="5" t="n"/>
      <c r="B282" s="5" t="n"/>
      <c r="C282" s="6" t="n"/>
      <c r="D282" s="6" t="n"/>
      <c r="E282" s="6" t="n"/>
      <c r="F282" s="6" t="n"/>
      <c r="G282" s="7" t="n"/>
      <c r="H282" s="8" t="n"/>
      <c r="I282" s="8" t="n"/>
      <c r="J282" s="8" t="n"/>
      <c r="K282" s="6" t="n"/>
      <c r="L282" s="6" t="n"/>
      <c r="M282" s="6" t="n"/>
      <c r="N282" s="6" t="n"/>
    </row>
    <row r="283">
      <c r="A283" s="5" t="n"/>
      <c r="B283" s="5" t="n"/>
      <c r="C283" s="6" t="n"/>
      <c r="D283" s="6" t="n"/>
      <c r="E283" s="6" t="n"/>
      <c r="F283" s="6" t="n"/>
      <c r="G283" s="7" t="n"/>
      <c r="H283" s="8" t="n"/>
      <c r="I283" s="8" t="n"/>
      <c r="J283" s="8" t="n"/>
      <c r="K283" s="6" t="n"/>
      <c r="L283" s="6" t="n"/>
      <c r="M283" s="6" t="n"/>
      <c r="N283" s="6" t="n"/>
    </row>
    <row r="284">
      <c r="A284" s="5" t="n"/>
      <c r="B284" s="5" t="n"/>
      <c r="C284" s="6" t="n"/>
      <c r="D284" s="6" t="n"/>
      <c r="E284" s="6" t="n"/>
      <c r="F284" s="6" t="n"/>
      <c r="G284" s="7" t="n"/>
      <c r="H284" s="8" t="n"/>
      <c r="I284" s="8" t="n"/>
      <c r="J284" s="8" t="n"/>
      <c r="K284" s="6" t="n"/>
      <c r="L284" s="6" t="n"/>
      <c r="M284" s="6" t="n"/>
      <c r="N284" s="6" t="n"/>
    </row>
    <row r="285">
      <c r="A285" s="5" t="n"/>
      <c r="B285" s="5" t="n"/>
      <c r="C285" s="6" t="n"/>
      <c r="D285" s="6" t="n"/>
      <c r="E285" s="6" t="n"/>
      <c r="F285" s="6" t="n"/>
      <c r="G285" s="7" t="n"/>
      <c r="H285" s="8" t="n"/>
      <c r="I285" s="8" t="n"/>
      <c r="J285" s="8" t="n"/>
      <c r="K285" s="6" t="n"/>
      <c r="L285" s="6" t="n"/>
      <c r="M285" s="6" t="n"/>
      <c r="N285" s="6" t="n"/>
    </row>
    <row r="286">
      <c r="A286" s="5" t="n"/>
      <c r="B286" s="5" t="n"/>
      <c r="C286" s="6" t="n"/>
      <c r="D286" s="6" t="n"/>
      <c r="E286" s="6" t="n"/>
      <c r="F286" s="6" t="n"/>
      <c r="G286" s="7" t="n"/>
      <c r="H286" s="8" t="n"/>
      <c r="I286" s="8" t="n"/>
      <c r="J286" s="8" t="n"/>
      <c r="K286" s="6" t="n"/>
      <c r="L286" s="6" t="n"/>
      <c r="M286" s="6" t="n"/>
      <c r="N286" s="6" t="n"/>
    </row>
    <row r="287">
      <c r="A287" s="5" t="n"/>
      <c r="B287" s="5" t="n"/>
      <c r="C287" s="6" t="n"/>
      <c r="D287" s="6" t="n"/>
      <c r="E287" s="6" t="n"/>
      <c r="F287" s="6" t="n"/>
      <c r="G287" s="7" t="n"/>
      <c r="H287" s="8" t="n"/>
      <c r="I287" s="8" t="n"/>
      <c r="J287" s="8" t="n"/>
      <c r="K287" s="6" t="n"/>
      <c r="L287" s="6" t="n"/>
      <c r="M287" s="6" t="n"/>
      <c r="N287" s="6" t="n"/>
    </row>
    <row r="288">
      <c r="A288" s="5" t="n"/>
      <c r="B288" s="5" t="n"/>
      <c r="C288" s="6" t="n"/>
      <c r="D288" s="6" t="n"/>
      <c r="E288" s="6" t="n"/>
      <c r="F288" s="6" t="n"/>
      <c r="G288" s="7" t="n"/>
      <c r="H288" s="8" t="n"/>
      <c r="I288" s="8" t="n"/>
      <c r="J288" s="8" t="n"/>
      <c r="K288" s="6" t="n"/>
      <c r="L288" s="6" t="n"/>
      <c r="M288" s="6" t="n"/>
      <c r="N288" s="6" t="n"/>
    </row>
    <row r="289">
      <c r="A289" s="5" t="n"/>
      <c r="B289" s="5" t="n"/>
      <c r="C289" s="6" t="n"/>
      <c r="D289" s="6" t="n"/>
      <c r="E289" s="6" t="n"/>
      <c r="F289" s="6" t="n"/>
      <c r="G289" s="7" t="n"/>
      <c r="H289" s="8" t="n"/>
      <c r="I289" s="8" t="n"/>
      <c r="J289" s="8" t="n"/>
      <c r="K289" s="6" t="n"/>
      <c r="L289" s="6" t="n"/>
      <c r="M289" s="6" t="n"/>
      <c r="N289" s="6" t="n"/>
    </row>
    <row r="290">
      <c r="A290" s="5" t="n"/>
      <c r="B290" s="5" t="n"/>
      <c r="C290" s="6" t="n"/>
      <c r="D290" s="6" t="n"/>
      <c r="E290" s="6" t="n"/>
      <c r="F290" s="6" t="n"/>
      <c r="G290" s="7" t="n"/>
      <c r="H290" s="8" t="n"/>
      <c r="I290" s="8" t="n"/>
      <c r="J290" s="8" t="n"/>
      <c r="K290" s="6" t="n"/>
      <c r="L290" s="6" t="n"/>
      <c r="M290" s="6" t="n"/>
      <c r="N290" s="6" t="n"/>
    </row>
    <row r="291">
      <c r="A291" s="5" t="n"/>
      <c r="B291" s="5" t="n"/>
      <c r="C291" s="6" t="n"/>
      <c r="D291" s="6" t="n"/>
      <c r="E291" s="6" t="n"/>
      <c r="F291" s="6" t="n"/>
      <c r="G291" s="7" t="n"/>
      <c r="H291" s="8" t="n"/>
      <c r="I291" s="8" t="n"/>
      <c r="J291" s="8" t="n"/>
      <c r="K291" s="6" t="n"/>
      <c r="L291" s="6" t="n"/>
      <c r="M291" s="6" t="n"/>
      <c r="N291" s="6" t="n"/>
    </row>
    <row r="292">
      <c r="A292" s="5" t="n"/>
      <c r="B292" s="5" t="n"/>
      <c r="C292" s="6" t="n"/>
      <c r="D292" s="6" t="n"/>
      <c r="E292" s="6" t="n"/>
      <c r="F292" s="6" t="n"/>
      <c r="G292" s="7" t="n"/>
      <c r="H292" s="8" t="n"/>
      <c r="I292" s="8" t="n"/>
      <c r="J292" s="8" t="n"/>
      <c r="K292" s="6" t="n"/>
      <c r="L292" s="6" t="n"/>
      <c r="M292" s="6" t="n"/>
      <c r="N292" s="6" t="n"/>
    </row>
    <row r="293">
      <c r="A293" s="5" t="n"/>
      <c r="B293" s="5" t="n"/>
      <c r="C293" s="6" t="n"/>
      <c r="D293" s="6" t="n"/>
      <c r="E293" s="6" t="n"/>
      <c r="F293" s="6" t="n"/>
      <c r="G293" s="7" t="n"/>
      <c r="H293" s="8" t="n"/>
      <c r="I293" s="8" t="n"/>
      <c r="J293" s="8" t="n"/>
      <c r="K293" s="6" t="n"/>
      <c r="L293" s="6" t="n"/>
      <c r="M293" s="6" t="n"/>
      <c r="N293" s="6" t="n"/>
    </row>
    <row r="294">
      <c r="A294" s="5" t="n"/>
      <c r="B294" s="5" t="n"/>
      <c r="C294" s="6" t="n"/>
      <c r="D294" s="6" t="n"/>
      <c r="E294" s="6" t="n"/>
      <c r="F294" s="6" t="n"/>
      <c r="G294" s="7" t="n"/>
      <c r="H294" s="8" t="n"/>
      <c r="I294" s="8" t="n"/>
      <c r="J294" s="8" t="n"/>
      <c r="K294" s="6" t="n"/>
      <c r="L294" s="6" t="n"/>
      <c r="M294" s="6" t="n"/>
      <c r="N294" s="6" t="n"/>
    </row>
    <row r="295">
      <c r="A295" s="5" t="n"/>
      <c r="B295" s="5" t="n"/>
      <c r="C295" s="6" t="n"/>
      <c r="D295" s="6" t="n"/>
      <c r="E295" s="6" t="n"/>
      <c r="F295" s="6" t="n"/>
      <c r="G295" s="7" t="n"/>
      <c r="H295" s="8" t="n"/>
      <c r="I295" s="8" t="n"/>
      <c r="J295" s="8" t="n"/>
      <c r="K295" s="6" t="n"/>
      <c r="L295" s="6" t="n"/>
      <c r="M295" s="6" t="n"/>
      <c r="N295" s="6" t="n"/>
    </row>
    <row r="296">
      <c r="A296" s="5" t="n"/>
      <c r="B296" s="5" t="n"/>
      <c r="C296" s="6" t="n"/>
      <c r="D296" s="6" t="n"/>
      <c r="E296" s="6" t="n"/>
      <c r="F296" s="6" t="n"/>
      <c r="G296" s="7" t="n"/>
      <c r="H296" s="8" t="n"/>
      <c r="I296" s="8" t="n"/>
      <c r="J296" s="8" t="n"/>
      <c r="K296" s="6" t="n"/>
      <c r="L296" s="6" t="n"/>
      <c r="M296" s="6" t="n"/>
      <c r="N296" s="6" t="n"/>
    </row>
    <row r="297">
      <c r="A297" s="5" t="n"/>
      <c r="B297" s="5" t="n"/>
      <c r="C297" s="6" t="n"/>
      <c r="D297" s="6" t="n"/>
      <c r="E297" s="6" t="n"/>
      <c r="F297" s="6" t="n"/>
      <c r="G297" s="7" t="n"/>
      <c r="H297" s="8" t="n"/>
      <c r="I297" s="8" t="n"/>
      <c r="J297" s="8" t="n"/>
      <c r="K297" s="6" t="n"/>
      <c r="L297" s="6" t="n"/>
      <c r="M297" s="6" t="n"/>
      <c r="N297" s="6" t="n"/>
    </row>
    <row r="298">
      <c r="A298" s="5" t="n"/>
      <c r="B298" s="5" t="n"/>
      <c r="C298" s="6" t="n"/>
      <c r="D298" s="6" t="n"/>
      <c r="E298" s="6" t="n"/>
      <c r="F298" s="6" t="n"/>
      <c r="G298" s="7" t="n"/>
      <c r="H298" s="8" t="n"/>
      <c r="I298" s="8" t="n"/>
      <c r="J298" s="8" t="n"/>
      <c r="K298" s="6" t="n"/>
      <c r="L298" s="6" t="n"/>
      <c r="M298" s="6" t="n"/>
      <c r="N298" s="6" t="n"/>
    </row>
    <row r="299">
      <c r="A299" s="5" t="n"/>
      <c r="B299" s="5" t="n"/>
      <c r="C299" s="6" t="n"/>
      <c r="D299" s="6" t="n"/>
      <c r="E299" s="6" t="n"/>
      <c r="F299" s="6" t="n"/>
      <c r="G299" s="7" t="n"/>
      <c r="H299" s="8" t="n"/>
      <c r="I299" s="8" t="n"/>
      <c r="J299" s="8" t="n"/>
      <c r="K299" s="6" t="n"/>
      <c r="L299" s="6" t="n"/>
      <c r="M299" s="6" t="n"/>
      <c r="N299" s="6" t="n"/>
    </row>
    <row r="300">
      <c r="A300" s="5" t="n"/>
      <c r="B300" s="5" t="n"/>
      <c r="C300" s="6" t="n"/>
      <c r="D300" s="6" t="n"/>
      <c r="E300" s="6" t="n"/>
      <c r="F300" s="6" t="n"/>
      <c r="G300" s="7" t="n"/>
      <c r="H300" s="8" t="n"/>
      <c r="I300" s="8" t="n"/>
      <c r="J300" s="8" t="n"/>
      <c r="K300" s="6" t="n"/>
      <c r="L300" s="6" t="n"/>
      <c r="M300" s="6" t="n"/>
      <c r="N300" s="6" t="n"/>
    </row>
    <row r="301">
      <c r="A301" s="5" t="n"/>
      <c r="B301" s="5" t="n"/>
      <c r="C301" s="6" t="n"/>
      <c r="D301" s="6" t="n"/>
      <c r="E301" s="6" t="n"/>
      <c r="F301" s="6" t="n"/>
      <c r="G301" s="7" t="n"/>
      <c r="H301" s="8" t="n"/>
      <c r="I301" s="8" t="n"/>
      <c r="J301" s="8" t="n"/>
      <c r="K301" s="6" t="n"/>
      <c r="L301" s="6" t="n"/>
      <c r="M301" s="6" t="n"/>
      <c r="N301" s="6" t="n"/>
    </row>
    <row r="302">
      <c r="A302" s="5" t="n"/>
      <c r="B302" s="5" t="n"/>
      <c r="C302" s="6" t="n"/>
      <c r="D302" s="6" t="n"/>
      <c r="E302" s="6" t="n"/>
      <c r="F302" s="6" t="n"/>
      <c r="G302" s="7" t="n"/>
      <c r="H302" s="8" t="n"/>
      <c r="I302" s="8" t="n"/>
      <c r="J302" s="8" t="n"/>
      <c r="K302" s="6" t="n"/>
      <c r="L302" s="6" t="n"/>
      <c r="M302" s="6" t="n"/>
      <c r="N302" s="6" t="n"/>
    </row>
    <row r="303">
      <c r="A303" s="5" t="n"/>
      <c r="B303" s="5" t="n"/>
      <c r="C303" s="6" t="n"/>
      <c r="D303" s="6" t="n"/>
      <c r="E303" s="6" t="n"/>
      <c r="F303" s="6" t="n"/>
      <c r="G303" s="7" t="n"/>
      <c r="H303" s="8" t="n"/>
      <c r="I303" s="8" t="n"/>
      <c r="J303" s="8" t="n"/>
      <c r="K303" s="6" t="n"/>
      <c r="L303" s="6" t="n"/>
      <c r="M303" s="6" t="n"/>
      <c r="N303" s="6" t="n"/>
    </row>
    <row r="304">
      <c r="A304" s="5" t="n"/>
      <c r="B304" s="5" t="n"/>
      <c r="C304" s="6" t="n"/>
      <c r="D304" s="6" t="n"/>
      <c r="E304" s="6" t="n"/>
      <c r="F304" s="6" t="n"/>
      <c r="G304" s="7" t="n"/>
      <c r="H304" s="8" t="n"/>
      <c r="I304" s="8" t="n"/>
      <c r="J304" s="8" t="n"/>
      <c r="K304" s="6" t="n"/>
      <c r="L304" s="6" t="n"/>
      <c r="M304" s="6" t="n"/>
      <c r="N304" s="6" t="n"/>
    </row>
    <row r="305">
      <c r="A305" s="5" t="n"/>
      <c r="B305" s="5" t="n"/>
      <c r="C305" s="6" t="n"/>
      <c r="D305" s="6" t="n"/>
      <c r="E305" s="6" t="n"/>
      <c r="F305" s="6" t="n"/>
      <c r="G305" s="7" t="n"/>
      <c r="H305" s="8" t="n"/>
      <c r="I305" s="8" t="n"/>
      <c r="J305" s="8" t="n"/>
      <c r="K305" s="6" t="n"/>
      <c r="L305" s="6" t="n"/>
      <c r="M305" s="6" t="n"/>
      <c r="N305" s="6" t="n"/>
    </row>
    <row r="306">
      <c r="A306" s="5" t="n"/>
      <c r="B306" s="5" t="n"/>
      <c r="C306" s="6" t="n"/>
      <c r="D306" s="6" t="n"/>
      <c r="E306" s="6" t="n"/>
      <c r="F306" s="6" t="n"/>
      <c r="G306" s="7" t="n"/>
      <c r="H306" s="8" t="n"/>
      <c r="I306" s="8" t="n"/>
      <c r="J306" s="8" t="n"/>
      <c r="K306" s="6" t="n"/>
      <c r="L306" s="6" t="n"/>
      <c r="M306" s="6" t="n"/>
      <c r="N306" s="6" t="n"/>
    </row>
    <row r="307">
      <c r="A307" s="5" t="n"/>
      <c r="B307" s="5" t="n"/>
      <c r="C307" s="6" t="n"/>
      <c r="D307" s="6" t="n"/>
      <c r="E307" s="6" t="n"/>
      <c r="F307" s="6" t="n"/>
      <c r="G307" s="7" t="n"/>
      <c r="H307" s="8" t="n"/>
      <c r="I307" s="8" t="n"/>
      <c r="J307" s="8" t="n"/>
      <c r="K307" s="6" t="n"/>
      <c r="L307" s="6" t="n"/>
      <c r="M307" s="6" t="n"/>
      <c r="N307" s="6" t="n"/>
    </row>
    <row r="308">
      <c r="A308" s="5" t="n"/>
      <c r="B308" s="5" t="n"/>
      <c r="C308" s="6" t="n"/>
      <c r="D308" s="6" t="n"/>
      <c r="E308" s="6" t="n"/>
      <c r="F308" s="6" t="n"/>
      <c r="G308" s="7" t="n"/>
      <c r="H308" s="8" t="n"/>
      <c r="I308" s="8" t="n"/>
      <c r="J308" s="8" t="n"/>
      <c r="K308" s="6" t="n"/>
      <c r="L308" s="6" t="n"/>
      <c r="M308" s="6" t="n"/>
      <c r="N308" s="6" t="n"/>
    </row>
    <row r="309">
      <c r="A309" s="5" t="n"/>
      <c r="B309" s="5" t="n"/>
      <c r="C309" s="6" t="n"/>
      <c r="D309" s="6" t="n"/>
      <c r="E309" s="6" t="n"/>
      <c r="F309" s="6" t="n"/>
      <c r="G309" s="7" t="n"/>
      <c r="H309" s="8" t="n"/>
      <c r="I309" s="8" t="n"/>
      <c r="J309" s="8" t="n"/>
      <c r="K309" s="6" t="n"/>
      <c r="L309" s="6" t="n"/>
      <c r="M309" s="6" t="n"/>
      <c r="N309" s="6" t="n"/>
    </row>
    <row r="310">
      <c r="A310" s="5" t="n"/>
      <c r="B310" s="5" t="n"/>
      <c r="C310" s="6" t="n"/>
      <c r="D310" s="6" t="n"/>
      <c r="E310" s="6" t="n"/>
      <c r="F310" s="6" t="n"/>
      <c r="G310" s="7" t="n"/>
      <c r="H310" s="8" t="n"/>
      <c r="I310" s="8" t="n"/>
      <c r="J310" s="8" t="n"/>
      <c r="K310" s="6" t="n"/>
      <c r="L310" s="6" t="n"/>
      <c r="M310" s="6" t="n"/>
      <c r="N310" s="6" t="n"/>
    </row>
    <row r="311">
      <c r="A311" s="5" t="n"/>
      <c r="B311" s="5" t="n"/>
      <c r="C311" s="6" t="n"/>
      <c r="D311" s="6" t="n"/>
      <c r="E311" s="6" t="n"/>
      <c r="F311" s="6" t="n"/>
      <c r="G311" s="7" t="n"/>
      <c r="H311" s="8" t="n"/>
      <c r="I311" s="8" t="n"/>
      <c r="J311" s="8" t="n"/>
      <c r="K311" s="6" t="n"/>
      <c r="L311" s="6" t="n"/>
      <c r="M311" s="6" t="n"/>
      <c r="N311" s="6" t="n"/>
    </row>
    <row r="312">
      <c r="A312" s="5" t="n"/>
      <c r="B312" s="5" t="n"/>
      <c r="C312" s="6" t="n"/>
      <c r="D312" s="6" t="n"/>
      <c r="E312" s="6" t="n"/>
      <c r="F312" s="6" t="n"/>
      <c r="G312" s="7" t="n"/>
      <c r="H312" s="8" t="n"/>
      <c r="I312" s="8" t="n"/>
      <c r="J312" s="8" t="n"/>
      <c r="K312" s="6" t="n"/>
      <c r="L312" s="6" t="n"/>
      <c r="M312" s="6" t="n"/>
      <c r="N312" s="6" t="n"/>
    </row>
    <row r="313">
      <c r="A313" s="5" t="n"/>
      <c r="B313" s="5" t="n"/>
      <c r="C313" s="6" t="n"/>
      <c r="D313" s="6" t="n"/>
      <c r="E313" s="6" t="n"/>
      <c r="F313" s="6" t="n"/>
      <c r="G313" s="7" t="n"/>
      <c r="H313" s="8" t="n"/>
      <c r="I313" s="8" t="n"/>
      <c r="J313" s="8" t="n"/>
      <c r="K313" s="6" t="n"/>
      <c r="L313" s="6" t="n"/>
      <c r="M313" s="6" t="n"/>
      <c r="N313" s="6" t="n"/>
    </row>
    <row r="314">
      <c r="A314" s="5" t="n"/>
      <c r="B314" s="5" t="n"/>
      <c r="C314" s="6" t="n"/>
      <c r="D314" s="6" t="n"/>
      <c r="E314" s="6" t="n"/>
      <c r="F314" s="6" t="n"/>
      <c r="G314" s="7" t="n"/>
      <c r="H314" s="8" t="n"/>
      <c r="I314" s="8" t="n"/>
      <c r="J314" s="8" t="n"/>
      <c r="K314" s="6" t="n"/>
      <c r="L314" s="6" t="n"/>
      <c r="M314" s="6" t="n"/>
      <c r="N314" s="6" t="n"/>
    </row>
    <row r="315">
      <c r="A315" s="5" t="n"/>
      <c r="B315" s="5" t="n"/>
      <c r="C315" s="6" t="n"/>
      <c r="D315" s="6" t="n"/>
      <c r="E315" s="6" t="n"/>
      <c r="F315" s="6" t="n"/>
      <c r="G315" s="7" t="n"/>
      <c r="H315" s="8" t="n"/>
      <c r="I315" s="8" t="n"/>
      <c r="J315" s="8" t="n"/>
      <c r="K315" s="6" t="n"/>
      <c r="L315" s="6" t="n"/>
      <c r="M315" s="6" t="n"/>
      <c r="N315" s="6" t="n"/>
    </row>
    <row r="316">
      <c r="A316" s="5" t="n"/>
      <c r="B316" s="5" t="n"/>
      <c r="C316" s="6" t="n"/>
      <c r="D316" s="6" t="n"/>
      <c r="E316" s="6" t="n"/>
      <c r="F316" s="6" t="n"/>
      <c r="G316" s="7" t="n"/>
      <c r="H316" s="8" t="n"/>
      <c r="I316" s="8" t="n"/>
      <c r="J316" s="8" t="n"/>
      <c r="K316" s="6" t="n"/>
      <c r="L316" s="6" t="n"/>
      <c r="M316" s="6" t="n"/>
      <c r="N316" s="6" t="n"/>
    </row>
    <row r="317">
      <c r="A317" s="5" t="n"/>
      <c r="B317" s="5" t="n"/>
      <c r="C317" s="6" t="n"/>
      <c r="D317" s="6" t="n"/>
      <c r="E317" s="6" t="n"/>
      <c r="F317" s="6" t="n"/>
      <c r="G317" s="7" t="n"/>
      <c r="H317" s="8" t="n"/>
      <c r="I317" s="8" t="n"/>
      <c r="J317" s="8" t="n"/>
      <c r="K317" s="6" t="n"/>
      <c r="L317" s="6" t="n"/>
      <c r="M317" s="6" t="n"/>
      <c r="N317" s="6" t="n"/>
    </row>
    <row r="318">
      <c r="A318" s="5" t="n"/>
      <c r="B318" s="5" t="n"/>
      <c r="C318" s="6" t="n"/>
      <c r="D318" s="6" t="n"/>
      <c r="E318" s="6" t="n"/>
      <c r="F318" s="6" t="n"/>
      <c r="G318" s="7" t="n"/>
      <c r="H318" s="8" t="n"/>
      <c r="I318" s="8" t="n"/>
      <c r="J318" s="8" t="n"/>
      <c r="K318" s="6" t="n"/>
      <c r="L318" s="6" t="n"/>
      <c r="M318" s="6" t="n"/>
      <c r="N318" s="6" t="n"/>
    </row>
    <row r="319">
      <c r="A319" s="5" t="n"/>
      <c r="B319" s="5" t="n"/>
      <c r="C319" s="6" t="n"/>
      <c r="D319" s="6" t="n"/>
      <c r="E319" s="6" t="n"/>
      <c r="F319" s="6" t="n"/>
      <c r="G319" s="7" t="n"/>
      <c r="H319" s="8" t="n"/>
      <c r="I319" s="8" t="n"/>
      <c r="J319" s="8" t="n"/>
      <c r="K319" s="6" t="n"/>
      <c r="L319" s="6" t="n"/>
      <c r="M319" s="6" t="n"/>
      <c r="N319" s="6" t="n"/>
    </row>
    <row r="320">
      <c r="A320" s="5" t="n"/>
      <c r="B320" s="5" t="n"/>
      <c r="C320" s="6" t="n"/>
      <c r="D320" s="6" t="n"/>
      <c r="E320" s="6" t="n"/>
      <c r="F320" s="6" t="n"/>
      <c r="G320" s="7" t="n"/>
      <c r="H320" s="8" t="n"/>
      <c r="I320" s="8" t="n"/>
      <c r="J320" s="8" t="n"/>
      <c r="K320" s="6" t="n"/>
      <c r="L320" s="6" t="n"/>
      <c r="M320" s="6" t="n"/>
      <c r="N320" s="6" t="n"/>
    </row>
    <row r="321">
      <c r="A321" s="5" t="n"/>
      <c r="B321" s="5" t="n"/>
      <c r="C321" s="6" t="n"/>
      <c r="D321" s="6" t="n"/>
      <c r="E321" s="6" t="n"/>
      <c r="F321" s="6" t="n"/>
      <c r="G321" s="7" t="n"/>
      <c r="H321" s="8" t="n"/>
      <c r="I321" s="8" t="n"/>
      <c r="J321" s="8" t="n"/>
      <c r="K321" s="6" t="n"/>
      <c r="L321" s="6" t="n"/>
      <c r="M321" s="6" t="n"/>
      <c r="N321" s="6" t="n"/>
    </row>
    <row r="322">
      <c r="A322" s="5" t="n"/>
      <c r="B322" s="5" t="n"/>
      <c r="C322" s="6" t="n"/>
      <c r="D322" s="6" t="n"/>
      <c r="E322" s="6" t="n"/>
      <c r="F322" s="6" t="n"/>
      <c r="G322" s="7" t="n"/>
      <c r="H322" s="8" t="n"/>
      <c r="I322" s="8" t="n"/>
      <c r="J322" s="8" t="n"/>
      <c r="K322" s="6" t="n"/>
      <c r="L322" s="6" t="n"/>
      <c r="M322" s="6" t="n"/>
      <c r="N322" s="6" t="n"/>
    </row>
    <row r="323">
      <c r="A323" s="5" t="n"/>
      <c r="B323" s="5" t="n"/>
      <c r="C323" s="6" t="n"/>
      <c r="D323" s="6" t="n"/>
      <c r="E323" s="6" t="n"/>
      <c r="F323" s="6" t="n"/>
      <c r="G323" s="7" t="n"/>
      <c r="H323" s="8" t="n"/>
      <c r="I323" s="8" t="n"/>
      <c r="J323" s="8" t="n"/>
      <c r="K323" s="6" t="n"/>
      <c r="L323" s="6" t="n"/>
      <c r="M323" s="6" t="n"/>
      <c r="N323" s="6" t="n"/>
    </row>
    <row r="324">
      <c r="A324" s="5" t="n"/>
      <c r="B324" s="5" t="n"/>
      <c r="C324" s="6" t="n"/>
      <c r="D324" s="6" t="n"/>
      <c r="E324" s="6" t="n"/>
      <c r="F324" s="6" t="n"/>
      <c r="G324" s="7" t="n"/>
      <c r="H324" s="8" t="n"/>
      <c r="I324" s="8" t="n"/>
      <c r="J324" s="8" t="n"/>
      <c r="K324" s="6" t="n"/>
      <c r="L324" s="6" t="n"/>
      <c r="M324" s="6" t="n"/>
      <c r="N324" s="6" t="n"/>
    </row>
    <row r="325">
      <c r="A325" s="5" t="n"/>
      <c r="B325" s="5" t="n"/>
      <c r="C325" s="6" t="n"/>
      <c r="D325" s="6" t="n"/>
      <c r="E325" s="6" t="n"/>
      <c r="F325" s="6" t="n"/>
      <c r="G325" s="7" t="n"/>
      <c r="H325" s="8" t="n"/>
      <c r="I325" s="8" t="n"/>
      <c r="J325" s="8" t="n"/>
      <c r="K325" s="6" t="n"/>
      <c r="L325" s="6" t="n"/>
      <c r="M325" s="6" t="n"/>
      <c r="N325" s="6" t="n"/>
    </row>
    <row r="326">
      <c r="A326" s="5" t="n"/>
      <c r="B326" s="5" t="n"/>
      <c r="C326" s="6" t="n"/>
      <c r="D326" s="6" t="n"/>
      <c r="E326" s="6" t="n"/>
      <c r="F326" s="6" t="n"/>
      <c r="G326" s="7" t="n"/>
      <c r="H326" s="8" t="n"/>
      <c r="I326" s="8" t="n"/>
      <c r="J326" s="8" t="n"/>
      <c r="K326" s="6" t="n"/>
      <c r="L326" s="6" t="n"/>
      <c r="M326" s="6" t="n"/>
      <c r="N326" s="6" t="n"/>
    </row>
    <row r="327">
      <c r="A327" s="5" t="n"/>
      <c r="B327" s="5" t="n"/>
      <c r="C327" s="6" t="n"/>
      <c r="D327" s="6" t="n"/>
      <c r="E327" s="6" t="n"/>
      <c r="F327" s="6" t="n"/>
      <c r="G327" s="7" t="n"/>
      <c r="H327" s="8" t="n"/>
      <c r="I327" s="8" t="n"/>
      <c r="J327" s="8" t="n"/>
      <c r="K327" s="6" t="n"/>
      <c r="L327" s="6" t="n"/>
      <c r="M327" s="6" t="n"/>
      <c r="N327" s="6" t="n"/>
    </row>
    <row r="328">
      <c r="A328" s="5" t="n"/>
      <c r="B328" s="5" t="n"/>
      <c r="C328" s="6" t="n"/>
      <c r="D328" s="6" t="n"/>
      <c r="E328" s="6" t="n"/>
      <c r="F328" s="6" t="n"/>
      <c r="G328" s="7" t="n"/>
      <c r="H328" s="8" t="n"/>
      <c r="I328" s="8" t="n"/>
      <c r="J328" s="8" t="n"/>
      <c r="K328" s="6" t="n"/>
      <c r="L328" s="6" t="n"/>
      <c r="M328" s="6" t="n"/>
      <c r="N328" s="6" t="n"/>
    </row>
    <row r="329">
      <c r="A329" s="5" t="n"/>
      <c r="B329" s="5" t="n"/>
      <c r="C329" s="6" t="n"/>
      <c r="D329" s="6" t="n"/>
      <c r="E329" s="6" t="n"/>
      <c r="F329" s="6" t="n"/>
      <c r="G329" s="7" t="n"/>
      <c r="H329" s="8" t="n"/>
      <c r="I329" s="8" t="n"/>
      <c r="J329" s="8" t="n"/>
      <c r="K329" s="6" t="n"/>
      <c r="L329" s="6" t="n"/>
      <c r="M329" s="6" t="n"/>
      <c r="N329" s="6" t="n"/>
    </row>
    <row r="330">
      <c r="A330" s="5" t="n"/>
      <c r="B330" s="5" t="n"/>
      <c r="C330" s="6" t="n"/>
      <c r="D330" s="6" t="n"/>
      <c r="E330" s="6" t="n"/>
      <c r="F330" s="6" t="n"/>
      <c r="G330" s="7" t="n"/>
      <c r="H330" s="8" t="n"/>
      <c r="I330" s="8" t="n"/>
      <c r="J330" s="8" t="n"/>
      <c r="K330" s="6" t="n"/>
      <c r="L330" s="6" t="n"/>
      <c r="M330" s="6" t="n"/>
      <c r="N330" s="6" t="n"/>
    </row>
    <row r="331">
      <c r="A331" s="5" t="n"/>
      <c r="B331" s="5" t="n"/>
      <c r="C331" s="6" t="n"/>
      <c r="D331" s="6" t="n"/>
      <c r="E331" s="6" t="n"/>
      <c r="F331" s="6" t="n"/>
      <c r="G331" s="7" t="n"/>
      <c r="H331" s="8" t="n"/>
      <c r="I331" s="8" t="n"/>
      <c r="J331" s="8" t="n"/>
      <c r="K331" s="6" t="n"/>
      <c r="L331" s="6" t="n"/>
      <c r="M331" s="6" t="n"/>
      <c r="N331" s="6" t="n"/>
    </row>
    <row r="332">
      <c r="A332" s="5" t="n"/>
      <c r="B332" s="5" t="n"/>
      <c r="C332" s="6" t="n"/>
      <c r="D332" s="6" t="n"/>
      <c r="E332" s="6" t="n"/>
      <c r="F332" s="6" t="n"/>
      <c r="G332" s="7" t="n"/>
      <c r="H332" s="8" t="n"/>
      <c r="I332" s="8" t="n"/>
      <c r="J332" s="8" t="n"/>
      <c r="K332" s="6" t="n"/>
      <c r="L332" s="6" t="n"/>
      <c r="M332" s="6" t="n"/>
      <c r="N332" s="6" t="n"/>
    </row>
    <row r="333">
      <c r="A333" s="5" t="n"/>
      <c r="B333" s="5" t="n"/>
      <c r="C333" s="6" t="n"/>
      <c r="D333" s="6" t="n"/>
      <c r="E333" s="6" t="n"/>
      <c r="F333" s="6" t="n"/>
      <c r="G333" s="7" t="n"/>
      <c r="H333" s="8" t="n"/>
      <c r="I333" s="8" t="n"/>
      <c r="J333" s="8" t="n"/>
      <c r="K333" s="6" t="n"/>
      <c r="L333" s="6" t="n"/>
      <c r="M333" s="6" t="n"/>
      <c r="N333" s="6" t="n"/>
    </row>
    <row r="334">
      <c r="A334" s="5" t="n"/>
      <c r="B334" s="5" t="n"/>
      <c r="C334" s="6" t="n"/>
      <c r="D334" s="6" t="n"/>
      <c r="E334" s="6" t="n"/>
      <c r="F334" s="6" t="n"/>
      <c r="G334" s="7" t="n"/>
      <c r="H334" s="8" t="n"/>
      <c r="I334" s="8" t="n"/>
      <c r="J334" s="8" t="n"/>
      <c r="K334" s="6" t="n"/>
      <c r="L334" s="6" t="n"/>
      <c r="M334" s="6" t="n"/>
      <c r="N334" s="6" t="n"/>
    </row>
    <row r="335">
      <c r="A335" s="5" t="n"/>
      <c r="B335" s="5" t="n"/>
      <c r="C335" s="6" t="n"/>
      <c r="D335" s="6" t="n"/>
      <c r="E335" s="6" t="n"/>
      <c r="F335" s="6" t="n"/>
      <c r="G335" s="7" t="n"/>
      <c r="H335" s="8" t="n"/>
      <c r="I335" s="8" t="n"/>
      <c r="J335" s="8" t="n"/>
      <c r="K335" s="6" t="n"/>
      <c r="L335" s="6" t="n"/>
      <c r="M335" s="6" t="n"/>
      <c r="N335" s="6" t="n"/>
    </row>
    <row r="336">
      <c r="A336" s="5" t="n"/>
      <c r="B336" s="5" t="n"/>
      <c r="C336" s="6" t="n"/>
      <c r="D336" s="6" t="n"/>
      <c r="E336" s="6" t="n"/>
      <c r="F336" s="6" t="n"/>
      <c r="G336" s="7" t="n"/>
      <c r="H336" s="8" t="n"/>
      <c r="I336" s="8" t="n"/>
      <c r="J336" s="8" t="n"/>
      <c r="K336" s="6" t="n"/>
      <c r="L336" s="6" t="n"/>
      <c r="M336" s="6" t="n"/>
      <c r="N336" s="6" t="n"/>
    </row>
    <row r="337">
      <c r="A337" s="5" t="n"/>
      <c r="B337" s="5" t="n"/>
      <c r="C337" s="6" t="n"/>
      <c r="D337" s="6" t="n"/>
      <c r="E337" s="6" t="n"/>
      <c r="F337" s="6" t="n"/>
      <c r="G337" s="7" t="n"/>
      <c r="H337" s="8" t="n"/>
      <c r="I337" s="8" t="n"/>
      <c r="J337" s="8" t="n"/>
      <c r="K337" s="6" t="n"/>
      <c r="L337" s="6" t="n"/>
      <c r="M337" s="6" t="n"/>
      <c r="N337" s="6" t="n"/>
    </row>
    <row r="338">
      <c r="A338" s="5" t="n"/>
      <c r="B338" s="5" t="n"/>
      <c r="C338" s="6" t="n"/>
      <c r="D338" s="6" t="n"/>
      <c r="E338" s="6" t="n"/>
      <c r="F338" s="6" t="n"/>
      <c r="G338" s="7" t="n"/>
      <c r="H338" s="8" t="n"/>
      <c r="I338" s="8" t="n"/>
      <c r="J338" s="8" t="n"/>
      <c r="K338" s="6" t="n"/>
      <c r="L338" s="6" t="n"/>
      <c r="M338" s="6" t="n"/>
      <c r="N338" s="6" t="n"/>
    </row>
    <row r="339">
      <c r="A339" s="5" t="n"/>
      <c r="B339" s="5" t="n"/>
      <c r="C339" s="6" t="n"/>
      <c r="D339" s="6" t="n"/>
      <c r="E339" s="6" t="n"/>
      <c r="F339" s="6" t="n"/>
      <c r="G339" s="7" t="n"/>
      <c r="H339" s="8" t="n"/>
      <c r="I339" s="8" t="n"/>
      <c r="J339" s="8" t="n"/>
      <c r="K339" s="6" t="n"/>
      <c r="L339" s="6" t="n"/>
      <c r="M339" s="6" t="n"/>
      <c r="N339" s="6" t="n"/>
    </row>
    <row r="340">
      <c r="A340" s="5" t="n"/>
      <c r="B340" s="5" t="n"/>
      <c r="C340" s="6" t="n"/>
      <c r="D340" s="6" t="n"/>
      <c r="E340" s="6" t="n"/>
      <c r="F340" s="6" t="n"/>
      <c r="G340" s="7" t="n"/>
      <c r="H340" s="8" t="n"/>
      <c r="I340" s="8" t="n"/>
      <c r="J340" s="8" t="n"/>
      <c r="K340" s="6" t="n"/>
      <c r="L340" s="6" t="n"/>
      <c r="M340" s="6" t="n"/>
      <c r="N340" s="6" t="n"/>
    </row>
    <row r="341">
      <c r="A341" s="5" t="n"/>
      <c r="B341" s="5" t="n"/>
      <c r="C341" s="6" t="n"/>
      <c r="D341" s="6" t="n"/>
      <c r="E341" s="6" t="n"/>
      <c r="F341" s="6" t="n"/>
      <c r="G341" s="7" t="n"/>
      <c r="H341" s="8" t="n"/>
      <c r="I341" s="8" t="n"/>
      <c r="J341" s="8" t="n"/>
      <c r="K341" s="6" t="n"/>
      <c r="L341" s="6" t="n"/>
      <c r="M341" s="6" t="n"/>
      <c r="N341" s="6" t="n"/>
    </row>
    <row r="342">
      <c r="A342" s="5" t="n"/>
      <c r="B342" s="5" t="n"/>
      <c r="C342" s="6" t="n"/>
      <c r="D342" s="6" t="n"/>
      <c r="E342" s="6" t="n"/>
      <c r="F342" s="6" t="n"/>
      <c r="G342" s="7" t="n"/>
      <c r="H342" s="8" t="n"/>
      <c r="I342" s="8" t="n"/>
      <c r="J342" s="8" t="n"/>
      <c r="K342" s="6" t="n"/>
      <c r="L342" s="6" t="n"/>
      <c r="M342" s="6" t="n"/>
      <c r="N342" s="6" t="n"/>
    </row>
    <row r="343">
      <c r="A343" s="5" t="n"/>
      <c r="B343" s="5" t="n"/>
      <c r="C343" s="6" t="n"/>
      <c r="D343" s="6" t="n"/>
      <c r="E343" s="6" t="n"/>
      <c r="F343" s="6" t="n"/>
      <c r="G343" s="7" t="n"/>
      <c r="H343" s="8" t="n"/>
      <c r="I343" s="8" t="n"/>
      <c r="J343" s="8" t="n"/>
      <c r="K343" s="6" t="n"/>
      <c r="L343" s="6" t="n"/>
      <c r="M343" s="6" t="n"/>
      <c r="N343" s="6" t="n"/>
    </row>
    <row r="344">
      <c r="A344" s="5" t="n"/>
      <c r="B344" s="5" t="n"/>
      <c r="C344" s="6" t="n"/>
      <c r="D344" s="6" t="n"/>
      <c r="E344" s="6" t="n"/>
      <c r="F344" s="6" t="n"/>
      <c r="G344" s="7" t="n"/>
      <c r="H344" s="8" t="n"/>
      <c r="I344" s="8" t="n"/>
      <c r="J344" s="8" t="n"/>
      <c r="K344" s="6" t="n"/>
      <c r="L344" s="6" t="n"/>
      <c r="M344" s="6" t="n"/>
      <c r="N344" s="6" t="n"/>
    </row>
    <row r="345">
      <c r="A345" s="5" t="n"/>
      <c r="B345" s="5" t="n"/>
      <c r="C345" s="6" t="n"/>
      <c r="D345" s="6" t="n"/>
      <c r="E345" s="6" t="n"/>
      <c r="F345" s="6" t="n"/>
      <c r="G345" s="7" t="n"/>
      <c r="H345" s="8" t="n"/>
      <c r="I345" s="8" t="n"/>
      <c r="J345" s="8" t="n"/>
      <c r="K345" s="6" t="n"/>
      <c r="L345" s="6" t="n"/>
      <c r="M345" s="6" t="n"/>
      <c r="N345" s="6" t="n"/>
    </row>
    <row r="346">
      <c r="A346" s="5" t="n"/>
      <c r="B346" s="5" t="n"/>
      <c r="C346" s="6" t="n"/>
      <c r="D346" s="6" t="n"/>
      <c r="E346" s="6" t="n"/>
      <c r="F346" s="6" t="n"/>
      <c r="G346" s="7" t="n"/>
      <c r="H346" s="8" t="n"/>
      <c r="I346" s="8" t="n"/>
      <c r="J346" s="8" t="n"/>
      <c r="K346" s="6" t="n"/>
      <c r="L346" s="6" t="n"/>
      <c r="M346" s="6" t="n"/>
      <c r="N346" s="6" t="n"/>
    </row>
    <row r="347">
      <c r="A347" s="5" t="n"/>
      <c r="B347" s="5" t="n"/>
      <c r="C347" s="6" t="n"/>
      <c r="D347" s="6" t="n"/>
      <c r="E347" s="6" t="n"/>
      <c r="F347" s="6" t="n"/>
      <c r="G347" s="7" t="n"/>
      <c r="H347" s="8" t="n"/>
      <c r="I347" s="8" t="n"/>
      <c r="J347" s="8" t="n"/>
      <c r="K347" s="6" t="n"/>
      <c r="L347" s="6" t="n"/>
      <c r="M347" s="6" t="n"/>
      <c r="N347" s="6" t="n"/>
    </row>
    <row r="348">
      <c r="A348" s="5" t="n"/>
      <c r="B348" s="5" t="n"/>
      <c r="C348" s="6" t="n"/>
      <c r="D348" s="6" t="n"/>
      <c r="E348" s="6" t="n"/>
      <c r="F348" s="6" t="n"/>
      <c r="G348" s="7" t="n"/>
      <c r="H348" s="8" t="n"/>
      <c r="I348" s="8" t="n"/>
      <c r="J348" s="8" t="n"/>
      <c r="K348" s="6" t="n"/>
      <c r="L348" s="6" t="n"/>
      <c r="M348" s="6" t="n"/>
      <c r="N348" s="6" t="n"/>
    </row>
    <row r="349">
      <c r="A349" s="5" t="n"/>
      <c r="B349" s="5" t="n"/>
      <c r="C349" s="6" t="n"/>
      <c r="D349" s="6" t="n"/>
      <c r="E349" s="6" t="n"/>
      <c r="F349" s="6" t="n"/>
      <c r="G349" s="7" t="n"/>
      <c r="H349" s="8" t="n"/>
      <c r="I349" s="8" t="n"/>
      <c r="J349" s="8" t="n"/>
      <c r="K349" s="6" t="n"/>
      <c r="L349" s="6" t="n"/>
      <c r="M349" s="6" t="n"/>
      <c r="N349" s="6" t="n"/>
    </row>
    <row r="350">
      <c r="A350" s="5" t="n"/>
      <c r="B350" s="5" t="n"/>
      <c r="C350" s="6" t="n"/>
      <c r="D350" s="6" t="n"/>
      <c r="E350" s="6" t="n"/>
      <c r="F350" s="6" t="n"/>
      <c r="G350" s="7" t="n"/>
      <c r="H350" s="8" t="n"/>
      <c r="I350" s="8" t="n"/>
      <c r="J350" s="8" t="n"/>
      <c r="K350" s="6" t="n"/>
      <c r="L350" s="6" t="n"/>
      <c r="M350" s="6" t="n"/>
      <c r="N350" s="6" t="n"/>
    </row>
    <row r="351">
      <c r="A351" s="5" t="n"/>
      <c r="B351" s="5" t="n"/>
      <c r="C351" s="6" t="n"/>
      <c r="D351" s="6" t="n"/>
      <c r="E351" s="6" t="n"/>
      <c r="F351" s="6" t="n"/>
      <c r="G351" s="7" t="n"/>
      <c r="H351" s="8" t="n"/>
      <c r="I351" s="8" t="n"/>
      <c r="J351" s="8" t="n"/>
      <c r="K351" s="6" t="n"/>
      <c r="L351" s="6" t="n"/>
      <c r="M351" s="6" t="n"/>
      <c r="N351" s="6" t="n"/>
    </row>
    <row r="352">
      <c r="A352" s="5" t="n"/>
      <c r="B352" s="5" t="n"/>
      <c r="C352" s="6" t="n"/>
      <c r="D352" s="6" t="n"/>
      <c r="E352" s="6" t="n"/>
      <c r="F352" s="6" t="n"/>
      <c r="G352" s="7" t="n"/>
      <c r="H352" s="8" t="n"/>
      <c r="I352" s="8" t="n"/>
      <c r="J352" s="8" t="n"/>
      <c r="K352" s="6" t="n"/>
      <c r="L352" s="6" t="n"/>
      <c r="M352" s="6" t="n"/>
      <c r="N352" s="6" t="n"/>
    </row>
    <row r="353">
      <c r="A353" s="5" t="n"/>
      <c r="B353" s="5" t="n"/>
      <c r="C353" s="6" t="n"/>
      <c r="D353" s="6" t="n"/>
      <c r="E353" s="6" t="n"/>
      <c r="F353" s="6" t="n"/>
      <c r="G353" s="7" t="n"/>
      <c r="H353" s="8" t="n"/>
      <c r="I353" s="8" t="n"/>
      <c r="J353" s="8" t="n"/>
      <c r="K353" s="6" t="n"/>
      <c r="L353" s="6" t="n"/>
      <c r="M353" s="6" t="n"/>
      <c r="N353" s="6" t="n"/>
    </row>
    <row r="354">
      <c r="A354" s="5" t="n"/>
      <c r="B354" s="5" t="n"/>
      <c r="C354" s="6" t="n"/>
      <c r="D354" s="6" t="n"/>
      <c r="E354" s="6" t="n"/>
      <c r="F354" s="6" t="n"/>
      <c r="G354" s="7" t="n"/>
      <c r="H354" s="8" t="n"/>
      <c r="I354" s="8" t="n"/>
      <c r="J354" s="8" t="n"/>
      <c r="K354" s="6" t="n"/>
      <c r="L354" s="6" t="n"/>
      <c r="M354" s="6" t="n"/>
      <c r="N354" s="6" t="n"/>
    </row>
    <row r="355">
      <c r="A355" s="5" t="n"/>
      <c r="B355" s="5" t="n"/>
      <c r="C355" s="6" t="n"/>
      <c r="D355" s="6" t="n"/>
      <c r="E355" s="6" t="n"/>
      <c r="F355" s="6" t="n"/>
      <c r="G355" s="7" t="n"/>
      <c r="H355" s="8" t="n"/>
      <c r="I355" s="8" t="n"/>
      <c r="J355" s="8" t="n"/>
      <c r="K355" s="6" t="n"/>
      <c r="L355" s="6" t="n"/>
      <c r="M355" s="6" t="n"/>
      <c r="N355" s="6" t="n"/>
    </row>
    <row r="356">
      <c r="A356" s="5" t="n"/>
      <c r="B356" s="5" t="n"/>
      <c r="C356" s="6" t="n"/>
      <c r="D356" s="6" t="n"/>
      <c r="E356" s="6" t="n"/>
      <c r="F356" s="6" t="n"/>
      <c r="G356" s="7" t="n"/>
      <c r="H356" s="8" t="n"/>
      <c r="I356" s="8" t="n"/>
      <c r="J356" s="8" t="n"/>
      <c r="K356" s="6" t="n"/>
      <c r="L356" s="6" t="n"/>
      <c r="M356" s="6" t="n"/>
      <c r="N356" s="6" t="n"/>
    </row>
    <row r="357">
      <c r="A357" s="5" t="n"/>
      <c r="B357" s="5" t="n"/>
      <c r="C357" s="6" t="n"/>
      <c r="D357" s="6" t="n"/>
      <c r="E357" s="6" t="n"/>
      <c r="F357" s="6" t="n"/>
      <c r="G357" s="7" t="n"/>
      <c r="H357" s="8" t="n"/>
      <c r="I357" s="8" t="n"/>
      <c r="J357" s="8" t="n"/>
      <c r="K357" s="6" t="n"/>
      <c r="L357" s="6" t="n"/>
      <c r="M357" s="6" t="n"/>
      <c r="N357" s="6" t="n"/>
    </row>
    <row r="358">
      <c r="A358" s="5" t="n"/>
      <c r="B358" s="5" t="n"/>
      <c r="C358" s="6" t="n"/>
      <c r="D358" s="6" t="n"/>
      <c r="E358" s="6" t="n"/>
      <c r="F358" s="6" t="n"/>
      <c r="G358" s="7" t="n"/>
      <c r="H358" s="8" t="n"/>
      <c r="I358" s="8" t="n"/>
      <c r="J358" s="8" t="n"/>
      <c r="K358" s="6" t="n"/>
      <c r="L358" s="6" t="n"/>
      <c r="M358" s="6" t="n"/>
      <c r="N358" s="6" t="n"/>
    </row>
    <row r="359">
      <c r="A359" s="5" t="n"/>
      <c r="B359" s="5" t="n"/>
      <c r="C359" s="6" t="n"/>
      <c r="D359" s="6" t="n"/>
      <c r="E359" s="6" t="n"/>
      <c r="F359" s="6" t="n"/>
      <c r="G359" s="7" t="n"/>
      <c r="H359" s="8" t="n"/>
      <c r="I359" s="8" t="n"/>
      <c r="J359" s="8" t="n"/>
      <c r="K359" s="6" t="n"/>
      <c r="L359" s="6" t="n"/>
      <c r="M359" s="6" t="n"/>
      <c r="N359" s="6" t="n"/>
    </row>
    <row r="360">
      <c r="A360" s="5" t="n"/>
      <c r="B360" s="5" t="n"/>
      <c r="C360" s="6" t="n"/>
      <c r="D360" s="6" t="n"/>
      <c r="E360" s="6" t="n"/>
      <c r="F360" s="6" t="n"/>
      <c r="G360" s="7" t="n"/>
      <c r="H360" s="8" t="n"/>
      <c r="I360" s="8" t="n"/>
      <c r="J360" s="8" t="n"/>
      <c r="K360" s="6" t="n"/>
      <c r="L360" s="6" t="n"/>
      <c r="M360" s="6" t="n"/>
      <c r="N360" s="6" t="n"/>
    </row>
    <row r="361">
      <c r="A361" s="5" t="n"/>
      <c r="B361" s="5" t="n"/>
      <c r="C361" s="6" t="n"/>
      <c r="D361" s="6" t="n"/>
      <c r="E361" s="6" t="n"/>
      <c r="F361" s="6" t="n"/>
      <c r="G361" s="7" t="n"/>
      <c r="H361" s="8" t="n"/>
      <c r="I361" s="8" t="n"/>
      <c r="J361" s="8" t="n"/>
      <c r="K361" s="6" t="n"/>
      <c r="L361" s="6" t="n"/>
      <c r="M361" s="6" t="n"/>
      <c r="N361" s="6" t="n"/>
    </row>
    <row r="362">
      <c r="A362" s="5" t="n"/>
      <c r="B362" s="5" t="n"/>
      <c r="C362" s="6" t="n"/>
      <c r="D362" s="6" t="n"/>
      <c r="E362" s="6" t="n"/>
      <c r="F362" s="6" t="n"/>
      <c r="G362" s="7" t="n"/>
      <c r="H362" s="8" t="n"/>
      <c r="I362" s="8" t="n"/>
      <c r="J362" s="8" t="n"/>
      <c r="K362" s="6" t="n"/>
      <c r="L362" s="6" t="n"/>
      <c r="M362" s="6" t="n"/>
      <c r="N362" s="6" t="n"/>
    </row>
    <row r="363">
      <c r="A363" s="5" t="n"/>
      <c r="B363" s="5" t="n"/>
      <c r="C363" s="6" t="n"/>
      <c r="D363" s="6" t="n"/>
      <c r="E363" s="6" t="n"/>
      <c r="F363" s="6" t="n"/>
      <c r="G363" s="7" t="n"/>
      <c r="H363" s="8" t="n"/>
      <c r="I363" s="8" t="n"/>
      <c r="J363" s="8" t="n"/>
      <c r="K363" s="6" t="n"/>
      <c r="L363" s="6" t="n"/>
      <c r="M363" s="6" t="n"/>
      <c r="N363" s="6" t="n"/>
    </row>
    <row r="364">
      <c r="A364" s="5" t="n"/>
      <c r="B364" s="5" t="n"/>
      <c r="C364" s="6" t="n"/>
      <c r="D364" s="6" t="n"/>
      <c r="E364" s="6" t="n"/>
      <c r="F364" s="6" t="n"/>
      <c r="G364" s="7" t="n"/>
      <c r="H364" s="8" t="n"/>
      <c r="I364" s="8" t="n"/>
      <c r="J364" s="8" t="n"/>
      <c r="K364" s="6" t="n"/>
      <c r="L364" s="6" t="n"/>
      <c r="M364" s="6" t="n"/>
      <c r="N364" s="6" t="n"/>
    </row>
    <row r="365">
      <c r="A365" s="5" t="n"/>
      <c r="B365" s="5" t="n"/>
      <c r="C365" s="6" t="n"/>
      <c r="D365" s="6" t="n"/>
      <c r="E365" s="6" t="n"/>
      <c r="F365" s="6" t="n"/>
      <c r="G365" s="7" t="n"/>
      <c r="H365" s="8" t="n"/>
      <c r="I365" s="8" t="n"/>
      <c r="J365" s="8" t="n"/>
      <c r="K365" s="6" t="n"/>
      <c r="L365" s="6" t="n"/>
      <c r="M365" s="6" t="n"/>
      <c r="N365" s="6" t="n"/>
    </row>
    <row r="366">
      <c r="A366" s="5" t="n"/>
      <c r="B366" s="5" t="n"/>
      <c r="C366" s="6" t="n"/>
      <c r="D366" s="6" t="n"/>
      <c r="E366" s="6" t="n"/>
      <c r="F366" s="6" t="n"/>
      <c r="G366" s="7" t="n"/>
      <c r="H366" s="8" t="n"/>
      <c r="I366" s="8" t="n"/>
      <c r="J366" s="8" t="n"/>
      <c r="K366" s="6" t="n"/>
      <c r="L366" s="6" t="n"/>
      <c r="M366" s="6" t="n"/>
      <c r="N366" s="6" t="n"/>
    </row>
    <row r="367">
      <c r="A367" s="5" t="n"/>
      <c r="B367" s="5" t="n"/>
      <c r="C367" s="6" t="n"/>
      <c r="D367" s="6" t="n"/>
      <c r="E367" s="6" t="n"/>
      <c r="F367" s="6" t="n"/>
      <c r="G367" s="7" t="n"/>
      <c r="H367" s="8" t="n"/>
      <c r="I367" s="8" t="n"/>
      <c r="J367" s="8" t="n"/>
      <c r="K367" s="6" t="n"/>
      <c r="L367" s="6" t="n"/>
      <c r="M367" s="6" t="n"/>
      <c r="N367" s="6" t="n"/>
    </row>
    <row r="368">
      <c r="A368" s="5" t="n"/>
      <c r="B368" s="5" t="n"/>
      <c r="C368" s="6" t="n"/>
      <c r="D368" s="6" t="n"/>
      <c r="E368" s="6" t="n"/>
      <c r="F368" s="6" t="n"/>
      <c r="G368" s="7" t="n"/>
      <c r="H368" s="8" t="n"/>
      <c r="I368" s="8" t="n"/>
      <c r="J368" s="8" t="n"/>
      <c r="K368" s="6" t="n"/>
      <c r="L368" s="6" t="n"/>
      <c r="M368" s="6" t="n"/>
      <c r="N368" s="6" t="n"/>
    </row>
    <row r="369">
      <c r="A369" s="5" t="n"/>
      <c r="B369" s="5" t="n"/>
      <c r="C369" s="6" t="n"/>
      <c r="D369" s="6" t="n"/>
      <c r="E369" s="6" t="n"/>
      <c r="F369" s="6" t="n"/>
      <c r="G369" s="7" t="n"/>
      <c r="H369" s="8" t="n"/>
      <c r="I369" s="8" t="n"/>
      <c r="J369" s="8" t="n"/>
      <c r="K369" s="6" t="n"/>
      <c r="L369" s="6" t="n"/>
      <c r="M369" s="6" t="n"/>
      <c r="N369" s="6" t="n"/>
    </row>
    <row r="370">
      <c r="A370" s="5" t="n"/>
      <c r="B370" s="5" t="n"/>
      <c r="C370" s="6" t="n"/>
      <c r="D370" s="6" t="n"/>
      <c r="E370" s="6" t="n"/>
      <c r="F370" s="6" t="n"/>
      <c r="G370" s="7" t="n"/>
      <c r="H370" s="8" t="n"/>
      <c r="I370" s="8" t="n"/>
      <c r="J370" s="8" t="n"/>
      <c r="K370" s="6" t="n"/>
      <c r="L370" s="6" t="n"/>
      <c r="M370" s="6" t="n"/>
      <c r="N370" s="6" t="n"/>
    </row>
    <row r="371">
      <c r="A371" s="5" t="n"/>
      <c r="B371" s="5" t="n"/>
      <c r="C371" s="6" t="n"/>
      <c r="D371" s="6" t="n"/>
      <c r="E371" s="6" t="n"/>
      <c r="F371" s="6" t="n"/>
      <c r="G371" s="7" t="n"/>
      <c r="H371" s="8" t="n"/>
      <c r="I371" s="8" t="n"/>
      <c r="J371" s="8" t="n"/>
      <c r="K371" s="6" t="n"/>
      <c r="L371" s="6" t="n"/>
      <c r="M371" s="6" t="n"/>
      <c r="N371" s="6" t="n"/>
    </row>
    <row r="372">
      <c r="A372" s="5" t="n"/>
      <c r="B372" s="5" t="n"/>
      <c r="C372" s="6" t="n"/>
      <c r="D372" s="6" t="n"/>
      <c r="E372" s="6" t="n"/>
      <c r="F372" s="6" t="n"/>
      <c r="G372" s="7" t="n"/>
      <c r="H372" s="8" t="n"/>
      <c r="I372" s="8" t="n"/>
      <c r="J372" s="8" t="n"/>
      <c r="K372" s="6" t="n"/>
      <c r="L372" s="6" t="n"/>
      <c r="M372" s="6" t="n"/>
      <c r="N372" s="6" t="n"/>
    </row>
    <row r="373">
      <c r="A373" s="5" t="n"/>
      <c r="B373" s="5" t="n"/>
      <c r="C373" s="6" t="n"/>
      <c r="D373" s="6" t="n"/>
      <c r="E373" s="6" t="n"/>
      <c r="F373" s="6" t="n"/>
      <c r="G373" s="7" t="n"/>
      <c r="H373" s="8" t="n"/>
      <c r="I373" s="8" t="n"/>
      <c r="J373" s="8" t="n"/>
      <c r="K373" s="6" t="n"/>
      <c r="L373" s="6" t="n"/>
      <c r="M373" s="6" t="n"/>
      <c r="N373" s="6" t="n"/>
    </row>
    <row r="374">
      <c r="A374" s="5" t="n"/>
      <c r="B374" s="5" t="n"/>
      <c r="C374" s="6" t="n"/>
      <c r="D374" s="6" t="n"/>
      <c r="E374" s="6" t="n"/>
      <c r="F374" s="6" t="n"/>
      <c r="G374" s="7" t="n"/>
      <c r="H374" s="8" t="n"/>
      <c r="I374" s="8" t="n"/>
      <c r="J374" s="8" t="n"/>
      <c r="K374" s="6" t="n"/>
      <c r="L374" s="6" t="n"/>
      <c r="M374" s="6" t="n"/>
      <c r="N374" s="6" t="n"/>
    </row>
    <row r="375">
      <c r="A375" s="5" t="n"/>
      <c r="B375" s="5" t="n"/>
      <c r="C375" s="6" t="n"/>
      <c r="D375" s="6" t="n"/>
      <c r="E375" s="6" t="n"/>
      <c r="F375" s="6" t="n"/>
      <c r="G375" s="7" t="n"/>
      <c r="H375" s="8" t="n"/>
      <c r="I375" s="8" t="n"/>
      <c r="J375" s="8" t="n"/>
      <c r="K375" s="6" t="n"/>
      <c r="L375" s="6" t="n"/>
      <c r="M375" s="6" t="n"/>
      <c r="N375" s="6" t="n"/>
    </row>
    <row r="376">
      <c r="A376" s="5" t="n"/>
      <c r="B376" s="5" t="n"/>
      <c r="C376" s="6" t="n"/>
      <c r="D376" s="6" t="n"/>
      <c r="E376" s="6" t="n"/>
      <c r="F376" s="6" t="n"/>
      <c r="G376" s="7" t="n"/>
      <c r="H376" s="8" t="n"/>
      <c r="I376" s="8" t="n"/>
      <c r="J376" s="8" t="n"/>
      <c r="K376" s="6" t="n"/>
      <c r="L376" s="6" t="n"/>
      <c r="M376" s="6" t="n"/>
      <c r="N376" s="6" t="n"/>
    </row>
    <row r="377">
      <c r="A377" s="5" t="n"/>
      <c r="B377" s="5" t="n"/>
      <c r="C377" s="6" t="n"/>
      <c r="D377" s="6" t="n"/>
      <c r="E377" s="6" t="n"/>
      <c r="F377" s="6" t="n"/>
      <c r="G377" s="7" t="n"/>
      <c r="H377" s="8" t="n"/>
      <c r="I377" s="8" t="n"/>
      <c r="J377" s="8" t="n"/>
      <c r="K377" s="6" t="n"/>
      <c r="L377" s="6" t="n"/>
      <c r="M377" s="6" t="n"/>
      <c r="N377" s="6" t="n"/>
    </row>
    <row r="378">
      <c r="A378" s="5" t="n"/>
      <c r="B378" s="5" t="n"/>
      <c r="C378" s="6" t="n"/>
      <c r="D378" s="6" t="n"/>
      <c r="E378" s="6" t="n"/>
      <c r="F378" s="6" t="n"/>
      <c r="G378" s="7" t="n"/>
      <c r="H378" s="8" t="n"/>
      <c r="I378" s="8" t="n"/>
      <c r="J378" s="8" t="n"/>
      <c r="K378" s="6" t="n"/>
      <c r="L378" s="6" t="n"/>
      <c r="M378" s="6" t="n"/>
      <c r="N378" s="6" t="n"/>
    </row>
    <row r="379">
      <c r="A379" s="5" t="n"/>
      <c r="B379" s="5" t="n"/>
      <c r="C379" s="6" t="n"/>
      <c r="D379" s="6" t="n"/>
      <c r="E379" s="6" t="n"/>
      <c r="F379" s="6" t="n"/>
      <c r="G379" s="7" t="n"/>
      <c r="H379" s="8" t="n"/>
      <c r="I379" s="8" t="n"/>
      <c r="J379" s="8" t="n"/>
      <c r="K379" s="6" t="n"/>
      <c r="L379" s="6" t="n"/>
      <c r="M379" s="6" t="n"/>
      <c r="N379" s="6" t="n"/>
    </row>
    <row r="380">
      <c r="A380" s="5" t="n"/>
      <c r="B380" s="5" t="n"/>
      <c r="C380" s="6" t="n"/>
      <c r="D380" s="6" t="n"/>
      <c r="E380" s="6" t="n"/>
      <c r="F380" s="6" t="n"/>
      <c r="G380" s="7" t="n"/>
      <c r="H380" s="8" t="n"/>
      <c r="I380" s="8" t="n"/>
      <c r="J380" s="8" t="n"/>
      <c r="K380" s="6" t="n"/>
      <c r="L380" s="6" t="n"/>
      <c r="M380" s="6" t="n"/>
      <c r="N380" s="6" t="n"/>
    </row>
    <row r="381">
      <c r="A381" s="5" t="n"/>
      <c r="B381" s="5" t="n"/>
      <c r="C381" s="6" t="n"/>
      <c r="D381" s="6" t="n"/>
      <c r="E381" s="6" t="n"/>
      <c r="F381" s="6" t="n"/>
      <c r="G381" s="7" t="n"/>
      <c r="H381" s="8" t="n"/>
      <c r="I381" s="8" t="n"/>
      <c r="J381" s="8" t="n"/>
      <c r="K381" s="6" t="n"/>
      <c r="L381" s="6" t="n"/>
      <c r="M381" s="6" t="n"/>
      <c r="N381" s="6" t="n"/>
    </row>
    <row r="382">
      <c r="A382" s="5" t="n"/>
      <c r="B382" s="5" t="n"/>
      <c r="C382" s="6" t="n"/>
      <c r="D382" s="6" t="n"/>
      <c r="E382" s="6" t="n"/>
      <c r="F382" s="6" t="n"/>
      <c r="G382" s="7" t="n"/>
      <c r="H382" s="8" t="n"/>
      <c r="I382" s="8" t="n"/>
      <c r="J382" s="8" t="n"/>
      <c r="K382" s="6" t="n"/>
      <c r="L382" s="6" t="n"/>
      <c r="M382" s="6" t="n"/>
      <c r="N382" s="6" t="n"/>
    </row>
    <row r="383">
      <c r="A383" s="5" t="n"/>
      <c r="B383" s="5" t="n"/>
      <c r="C383" s="6" t="n"/>
      <c r="D383" s="6" t="n"/>
      <c r="E383" s="6" t="n"/>
      <c r="F383" s="6" t="n"/>
      <c r="G383" s="7" t="n"/>
      <c r="H383" s="8" t="n"/>
      <c r="I383" s="8" t="n"/>
      <c r="J383" s="8" t="n"/>
      <c r="K383" s="6" t="n"/>
      <c r="L383" s="6" t="n"/>
      <c r="M383" s="6" t="n"/>
      <c r="N383" s="6" t="n"/>
    </row>
    <row r="384">
      <c r="A384" s="5" t="n"/>
      <c r="B384" s="5" t="n"/>
      <c r="C384" s="6" t="n"/>
      <c r="D384" s="6" t="n"/>
      <c r="E384" s="6" t="n"/>
      <c r="F384" s="6" t="n"/>
      <c r="G384" s="7" t="n"/>
      <c r="H384" s="8" t="n"/>
      <c r="I384" s="8" t="n"/>
      <c r="J384" s="8" t="n"/>
      <c r="K384" s="6" t="n"/>
      <c r="L384" s="6" t="n"/>
      <c r="M384" s="6" t="n"/>
      <c r="N384" s="6" t="n"/>
    </row>
    <row r="385">
      <c r="A385" s="5" t="n"/>
      <c r="B385" s="5" t="n"/>
      <c r="C385" s="6" t="n"/>
      <c r="D385" s="6" t="n"/>
      <c r="E385" s="6" t="n"/>
      <c r="F385" s="6" t="n"/>
      <c r="G385" s="7" t="n"/>
      <c r="H385" s="8" t="n"/>
      <c r="I385" s="8" t="n"/>
      <c r="J385" s="8" t="n"/>
      <c r="K385" s="6" t="n"/>
      <c r="L385" s="6" t="n"/>
      <c r="M385" s="6" t="n"/>
      <c r="N385" s="6" t="n"/>
    </row>
    <row r="386">
      <c r="A386" s="5" t="n"/>
      <c r="B386" s="5" t="n"/>
      <c r="C386" s="6" t="n"/>
      <c r="D386" s="6" t="n"/>
      <c r="E386" s="6" t="n"/>
      <c r="F386" s="6" t="n"/>
      <c r="G386" s="7" t="n"/>
      <c r="H386" s="8" t="n"/>
      <c r="I386" s="8" t="n"/>
      <c r="J386" s="8" t="n"/>
      <c r="K386" s="6" t="n"/>
      <c r="L386" s="6" t="n"/>
      <c r="M386" s="6" t="n"/>
      <c r="N386" s="6" t="n"/>
    </row>
    <row r="387">
      <c r="A387" s="5" t="n"/>
      <c r="B387" s="5" t="n"/>
      <c r="C387" s="6" t="n"/>
      <c r="D387" s="6" t="n"/>
      <c r="E387" s="6" t="n"/>
      <c r="F387" s="6" t="n"/>
      <c r="G387" s="7" t="n"/>
      <c r="H387" s="8" t="n"/>
      <c r="I387" s="8" t="n"/>
      <c r="J387" s="8" t="n"/>
      <c r="K387" s="6" t="n"/>
      <c r="L387" s="6" t="n"/>
      <c r="M387" s="6" t="n"/>
      <c r="N387" s="6" t="n"/>
    </row>
    <row r="388">
      <c r="A388" s="5" t="n"/>
      <c r="B388" s="5" t="n"/>
      <c r="C388" s="6" t="n"/>
      <c r="D388" s="6" t="n"/>
      <c r="E388" s="6" t="n"/>
      <c r="F388" s="6" t="n"/>
      <c r="G388" s="7" t="n"/>
      <c r="H388" s="8" t="n"/>
      <c r="I388" s="8" t="n"/>
      <c r="J388" s="8" t="n"/>
      <c r="K388" s="6" t="n"/>
      <c r="L388" s="6" t="n"/>
      <c r="M388" s="6" t="n"/>
      <c r="N388" s="6" t="n"/>
    </row>
    <row r="389">
      <c r="A389" s="5" t="n"/>
      <c r="B389" s="5" t="n"/>
      <c r="C389" s="6" t="n"/>
      <c r="D389" s="6" t="n"/>
      <c r="E389" s="6" t="n"/>
      <c r="F389" s="6" t="n"/>
      <c r="G389" s="7" t="n"/>
      <c r="H389" s="8" t="n"/>
      <c r="I389" s="8" t="n"/>
      <c r="J389" s="8" t="n"/>
      <c r="K389" s="6" t="n"/>
      <c r="L389" s="6" t="n"/>
      <c r="M389" s="6" t="n"/>
      <c r="N389" s="6" t="n"/>
    </row>
    <row r="390">
      <c r="A390" s="5" t="n"/>
      <c r="B390" s="5" t="n"/>
      <c r="C390" s="6" t="n"/>
      <c r="D390" s="6" t="n"/>
      <c r="E390" s="6" t="n"/>
      <c r="F390" s="6" t="n"/>
      <c r="G390" s="7" t="n"/>
      <c r="H390" s="8" t="n"/>
      <c r="I390" s="8" t="n"/>
      <c r="J390" s="8" t="n"/>
      <c r="K390" s="6" t="n"/>
      <c r="L390" s="6" t="n"/>
      <c r="M390" s="6" t="n"/>
      <c r="N390" s="6" t="n"/>
    </row>
    <row r="391">
      <c r="A391" s="5" t="n"/>
      <c r="B391" s="5" t="n"/>
      <c r="C391" s="6" t="n"/>
      <c r="D391" s="6" t="n"/>
      <c r="E391" s="6" t="n"/>
      <c r="F391" s="6" t="n"/>
      <c r="G391" s="7" t="n"/>
      <c r="H391" s="8" t="n"/>
      <c r="I391" s="8" t="n"/>
      <c r="J391" s="8" t="n"/>
      <c r="K391" s="6" t="n"/>
      <c r="L391" s="6" t="n"/>
      <c r="M391" s="6" t="n"/>
      <c r="N391" s="6" t="n"/>
    </row>
    <row r="392">
      <c r="A392" s="5" t="n"/>
      <c r="B392" s="5" t="n"/>
      <c r="C392" s="6" t="n"/>
      <c r="D392" s="6" t="n"/>
      <c r="E392" s="6" t="n"/>
      <c r="F392" s="6" t="n"/>
      <c r="G392" s="7" t="n"/>
      <c r="H392" s="8" t="n"/>
      <c r="I392" s="8" t="n"/>
      <c r="J392" s="8" t="n"/>
      <c r="K392" s="6" t="n"/>
      <c r="L392" s="6" t="n"/>
      <c r="M392" s="6" t="n"/>
      <c r="N392" s="6" t="n"/>
    </row>
    <row r="393">
      <c r="A393" s="5" t="n"/>
      <c r="B393" s="5" t="n"/>
      <c r="C393" s="6" t="n"/>
      <c r="D393" s="6" t="n"/>
      <c r="E393" s="6" t="n"/>
      <c r="F393" s="6" t="n"/>
      <c r="G393" s="7" t="n"/>
      <c r="H393" s="8" t="n"/>
      <c r="I393" s="8" t="n"/>
      <c r="J393" s="8" t="n"/>
      <c r="K393" s="6" t="n"/>
      <c r="L393" s="6" t="n"/>
      <c r="M393" s="6" t="n"/>
      <c r="N393" s="6" t="n"/>
    </row>
    <row r="394">
      <c r="A394" s="5" t="n"/>
      <c r="B394" s="5" t="n"/>
      <c r="C394" s="6" t="n"/>
      <c r="D394" s="6" t="n"/>
      <c r="E394" s="6" t="n"/>
      <c r="F394" s="6" t="n"/>
      <c r="G394" s="7" t="n"/>
      <c r="H394" s="8" t="n"/>
      <c r="I394" s="8" t="n"/>
      <c r="J394" s="8" t="n"/>
      <c r="K394" s="6" t="n"/>
      <c r="L394" s="6" t="n"/>
      <c r="M394" s="6" t="n"/>
      <c r="N394" s="6" t="n"/>
    </row>
  </sheetData>
  <dataValidations count="2">
    <dataValidation sqref="E4:E400" showDropDown="0" showInputMessage="0" showErrorMessage="0" allowBlank="0" type="list">
      <formula1>"kirim,chiqim"</formula1>
    </dataValidation>
    <dataValidation sqref="F4:F400" showDropDown="0" showInputMessage="0" showErrorMessage="0" allowBlank="0" type="list">
      <formula1>"UZS,USD"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Mijozlar bazasi</t>
        </is>
      </c>
    </row>
    <row r="2">
      <c r="A2" s="2" t="inlineStr">
        <is>
          <t>Mijozlarni shu yerda saqlaysiz. Formulalar avtomatik hisoblaydi.</t>
        </is>
      </c>
    </row>
    <row r="3">
      <c r="A3" s="3" t="n"/>
      <c r="B3" s="3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10" t="inlineStr">
        <is>
          <t>ID</t>
        </is>
      </c>
      <c r="B4" s="10" t="inlineStr">
        <is>
          <t>Nomi</t>
        </is>
      </c>
      <c r="C4" s="11" t="inlineStr">
        <is>
          <t>Telefon</t>
        </is>
      </c>
      <c r="D4" s="13" t="inlineStr">
        <is>
          <t>Boshlang'ich_qarz_uzs</t>
        </is>
      </c>
      <c r="E4" s="13" t="inlineStr">
        <is>
          <t>Boshlang'ich_qarz_usd</t>
        </is>
      </c>
      <c r="F4" s="13">
        <f>IF(A4="","",SUMIFS(Operatsiyalar!$I:$I,Operatsiyalar!$C:$C,A4,Operatsiyalar!$E:$E,"kirim"))</f>
        <v/>
      </c>
      <c r="G4" s="13">
        <f>IF(A4="","",SUMIFS(Operatsiyalar!$J:$J,Operatsiyalar!$C:$C,A4,Operatsiyalar!$E:$E,"kirim"))</f>
        <v/>
      </c>
      <c r="H4" s="13">
        <f>IF(A4="","",SUMIFS(Operatsiyalar!$I:$I,Operatsiyalar!$C:$C,A4,Operatsiyalar!$E:$E,"chiqim"))</f>
        <v/>
      </c>
      <c r="I4" s="13">
        <f>IF(A4="","",SUMIFS(Operatsiyalar!$J:$J,Operatsiyalar!$C:$C,A4,Operatsiyalar!$E:$E,"chiqim"))</f>
        <v/>
      </c>
      <c r="J4" s="13">
        <f>IF(A4="","",D4+H4-F4)</f>
        <v/>
      </c>
      <c r="K4" s="13">
        <f>IF(A4="","",E4+I4-G4)</f>
        <v/>
      </c>
    </row>
    <row r="5">
      <c r="A5" s="5" t="n">
        <v>1</v>
      </c>
      <c r="B5" s="5" t="inlineStr">
        <is>
          <t>Farruh aka</t>
        </is>
      </c>
      <c r="C5" s="6" t="inlineStr">
        <is>
          <t>905673344</t>
        </is>
      </c>
      <c r="D5" s="8" t="n">
        <v>0</v>
      </c>
      <c r="E5" s="8" t="n">
        <v>1</v>
      </c>
      <c r="F5" s="8">
        <f>SUMIFS(Operatsiyalar!$I:$I,Operatsiyalar!$C:$C,A5,Operatsiyalar!$E:$E,"kirim")</f>
        <v/>
      </c>
      <c r="G5" s="8">
        <f>SUMIFS(Operatsiyalar!$J:$J,Operatsiyalar!$C:$C,A5,Operatsiyalar!$E:$E,"kirim")</f>
        <v/>
      </c>
      <c r="H5" s="8">
        <f>SUMIFS(Operatsiyalar!$I:$I,Operatsiyalar!$C:$C,A5,Operatsiyalar!$E:$E,"chiqim")</f>
        <v/>
      </c>
      <c r="I5" s="8">
        <f>SUMIFS(Operatsiyalar!$J:$J,Operatsiyalar!$C:$C,A5,Operatsiyalar!$E:$E,"chiqim")</f>
        <v/>
      </c>
      <c r="J5" s="8">
        <f>D5+H5-F5</f>
        <v/>
      </c>
      <c r="K5" s="8">
        <f>E5+I5-G5</f>
        <v/>
      </c>
    </row>
    <row r="6">
      <c r="A6" s="5" t="n">
        <v>2</v>
      </c>
      <c r="B6" s="5" t="inlineStr">
        <is>
          <t>Yuksalish</t>
        </is>
      </c>
      <c r="C6" s="6" t="inlineStr">
        <is>
          <t>907072020</t>
        </is>
      </c>
      <c r="D6" s="8" t="n">
        <v>0</v>
      </c>
      <c r="E6" s="8" t="n">
        <v>0</v>
      </c>
      <c r="F6" s="8">
        <f>SUMIFS(Operatsiyalar!$I:$I,Operatsiyalar!$C:$C,A6,Operatsiyalar!$E:$E,"kirim")</f>
        <v/>
      </c>
      <c r="G6" s="8">
        <f>SUMIFS(Operatsiyalar!$J:$J,Operatsiyalar!$C:$C,A6,Operatsiyalar!$E:$E,"kirim")</f>
        <v/>
      </c>
      <c r="H6" s="8">
        <f>SUMIFS(Operatsiyalar!$I:$I,Operatsiyalar!$C:$C,A6,Operatsiyalar!$E:$E,"chiqim")</f>
        <v/>
      </c>
      <c r="I6" s="8">
        <f>SUMIFS(Operatsiyalar!$J:$J,Operatsiyalar!$C:$C,A6,Operatsiyalar!$E:$E,"chiqim")</f>
        <v/>
      </c>
      <c r="J6" s="8">
        <f>D6+H6-F6</f>
        <v/>
      </c>
      <c r="K6" s="8">
        <f>E6+I6-G6</f>
        <v/>
      </c>
    </row>
    <row r="7">
      <c r="A7" s="5" t="n">
        <v>3</v>
      </c>
      <c r="B7" s="5" t="inlineStr">
        <is>
          <t>Sardor Aka</t>
        </is>
      </c>
      <c r="C7" s="6" t="inlineStr">
        <is>
          <t>911477279</t>
        </is>
      </c>
      <c r="D7" s="8" t="n">
        <v>0</v>
      </c>
      <c r="E7" s="8" t="n">
        <v>0</v>
      </c>
      <c r="F7" s="8">
        <f>SUMIFS(Operatsiyalar!$I:$I,Operatsiyalar!$C:$C,A7,Operatsiyalar!$E:$E,"kirim")</f>
        <v/>
      </c>
      <c r="G7" s="8">
        <f>SUMIFS(Operatsiyalar!$J:$J,Operatsiyalar!$C:$C,A7,Operatsiyalar!$E:$E,"kirim")</f>
        <v/>
      </c>
      <c r="H7" s="8">
        <f>SUMIFS(Operatsiyalar!$I:$I,Operatsiyalar!$C:$C,A7,Operatsiyalar!$E:$E,"chiqim")</f>
        <v/>
      </c>
      <c r="I7" s="8">
        <f>SUMIFS(Operatsiyalar!$J:$J,Operatsiyalar!$C:$C,A7,Operatsiyalar!$E:$E,"chiqim")</f>
        <v/>
      </c>
      <c r="J7" s="8">
        <f>D7+H7-F7</f>
        <v/>
      </c>
      <c r="K7" s="8">
        <f>E7+I7-G7</f>
        <v/>
      </c>
    </row>
    <row r="8">
      <c r="A8" s="5" t="n">
        <v>4</v>
      </c>
      <c r="B8" s="5" t="inlineStr">
        <is>
          <t>Abdumalik Aka Eski</t>
        </is>
      </c>
      <c r="C8" s="6" t="inlineStr">
        <is>
          <t>916962323</t>
        </is>
      </c>
      <c r="D8" s="8" t="n">
        <v>0</v>
      </c>
      <c r="E8" s="8" t="n">
        <v>0</v>
      </c>
      <c r="F8" s="8">
        <f>SUMIFS(Operatsiyalar!$I:$I,Operatsiyalar!$C:$C,A8,Operatsiyalar!$E:$E,"kirim")</f>
        <v/>
      </c>
      <c r="G8" s="8">
        <f>SUMIFS(Operatsiyalar!$J:$J,Operatsiyalar!$C:$C,A8,Operatsiyalar!$E:$E,"kirim")</f>
        <v/>
      </c>
      <c r="H8" s="8">
        <f>SUMIFS(Operatsiyalar!$I:$I,Operatsiyalar!$C:$C,A8,Operatsiyalar!$E:$E,"chiqim")</f>
        <v/>
      </c>
      <c r="I8" s="8">
        <f>SUMIFS(Operatsiyalar!$J:$J,Operatsiyalar!$C:$C,A8,Operatsiyalar!$E:$E,"chiqim")</f>
        <v/>
      </c>
      <c r="J8" s="8">
        <f>D8+H8-F8</f>
        <v/>
      </c>
      <c r="K8" s="8">
        <f>E8+I8-G8</f>
        <v/>
      </c>
    </row>
    <row r="9">
      <c r="A9" s="5" t="n">
        <v>5</v>
      </c>
      <c r="B9" s="5" t="inlineStr">
        <is>
          <t>Dilshod Aka</t>
        </is>
      </c>
      <c r="C9" s="6" t="inlineStr">
        <is>
          <t>911393006</t>
        </is>
      </c>
      <c r="D9" s="8" t="n">
        <v>0</v>
      </c>
      <c r="E9" s="8" t="n">
        <v>0</v>
      </c>
      <c r="F9" s="8">
        <f>SUMIFS(Operatsiyalar!$I:$I,Operatsiyalar!$C:$C,A9,Operatsiyalar!$E:$E,"kirim")</f>
        <v/>
      </c>
      <c r="G9" s="8">
        <f>SUMIFS(Operatsiyalar!$J:$J,Operatsiyalar!$C:$C,A9,Operatsiyalar!$E:$E,"kirim")</f>
        <v/>
      </c>
      <c r="H9" s="8">
        <f>SUMIFS(Operatsiyalar!$I:$I,Operatsiyalar!$C:$C,A9,Operatsiyalar!$E:$E,"chiqim")</f>
        <v/>
      </c>
      <c r="I9" s="8">
        <f>SUMIFS(Operatsiyalar!$J:$J,Operatsiyalar!$C:$C,A9,Operatsiyalar!$E:$E,"chiqim")</f>
        <v/>
      </c>
      <c r="J9" s="8">
        <f>D9+H9-F9</f>
        <v/>
      </c>
      <c r="K9" s="8">
        <f>E9+I9-G9</f>
        <v/>
      </c>
    </row>
    <row r="10">
      <c r="A10" s="5" t="n">
        <v>6</v>
      </c>
      <c r="B10" s="5" t="inlineStr">
        <is>
          <t>Obbos Aka</t>
        </is>
      </c>
      <c r="C10" s="6" t="inlineStr">
        <is>
          <t>903663311</t>
        </is>
      </c>
      <c r="D10" s="8" t="n">
        <v>0</v>
      </c>
      <c r="E10" s="8" t="n">
        <v>0</v>
      </c>
      <c r="F10" s="8">
        <f>SUMIFS(Operatsiyalar!$I:$I,Operatsiyalar!$C:$C,A10,Operatsiyalar!$E:$E,"kirim")</f>
        <v/>
      </c>
      <c r="G10" s="8">
        <f>SUMIFS(Operatsiyalar!$J:$J,Operatsiyalar!$C:$C,A10,Operatsiyalar!$E:$E,"kirim")</f>
        <v/>
      </c>
      <c r="H10" s="8">
        <f>SUMIFS(Operatsiyalar!$I:$I,Operatsiyalar!$C:$C,A10,Operatsiyalar!$E:$E,"chiqim")</f>
        <v/>
      </c>
      <c r="I10" s="8">
        <f>SUMIFS(Operatsiyalar!$J:$J,Operatsiyalar!$C:$C,A10,Operatsiyalar!$E:$E,"chiqim")</f>
        <v/>
      </c>
      <c r="J10" s="8">
        <f>D10+H10-F10</f>
        <v/>
      </c>
      <c r="K10" s="8">
        <f>E10+I10-G10</f>
        <v/>
      </c>
    </row>
    <row r="11">
      <c r="A11" s="5" t="n">
        <v>7</v>
      </c>
      <c r="B11" s="5" t="inlineStr">
        <is>
          <t>Feruz Apa</t>
        </is>
      </c>
      <c r="C11" s="6" t="inlineStr">
        <is>
          <t>916902200</t>
        </is>
      </c>
      <c r="D11" s="8" t="n">
        <v>0</v>
      </c>
      <c r="E11" s="8" t="n">
        <v>0</v>
      </c>
      <c r="F11" s="8">
        <f>SUMIFS(Operatsiyalar!$I:$I,Operatsiyalar!$C:$C,A11,Operatsiyalar!$E:$E,"kirim")</f>
        <v/>
      </c>
      <c r="G11" s="8">
        <f>SUMIFS(Operatsiyalar!$J:$J,Operatsiyalar!$C:$C,A11,Operatsiyalar!$E:$E,"kirim")</f>
        <v/>
      </c>
      <c r="H11" s="8">
        <f>SUMIFS(Operatsiyalar!$I:$I,Operatsiyalar!$C:$C,A11,Operatsiyalar!$E:$E,"chiqim")</f>
        <v/>
      </c>
      <c r="I11" s="8">
        <f>SUMIFS(Operatsiyalar!$J:$J,Operatsiyalar!$C:$C,A11,Operatsiyalar!$E:$E,"chiqim")</f>
        <v/>
      </c>
      <c r="J11" s="8">
        <f>D11+H11-F11</f>
        <v/>
      </c>
      <c r="K11" s="8">
        <f>E11+I11-G11</f>
        <v/>
      </c>
    </row>
    <row r="12">
      <c r="A12" s="5" t="n">
        <v>8</v>
      </c>
      <c r="B12" s="5" t="inlineStr">
        <is>
          <t>Abdurahmon</t>
        </is>
      </c>
      <c r="C12" s="6" t="inlineStr">
        <is>
          <t>905900070</t>
        </is>
      </c>
      <c r="D12" s="8" t="n">
        <v>0</v>
      </c>
      <c r="E12" s="8" t="n">
        <v>0</v>
      </c>
      <c r="F12" s="8">
        <f>SUMIFS(Operatsiyalar!$I:$I,Operatsiyalar!$C:$C,A12,Operatsiyalar!$E:$E,"kirim")</f>
        <v/>
      </c>
      <c r="G12" s="8">
        <f>SUMIFS(Operatsiyalar!$J:$J,Operatsiyalar!$C:$C,A12,Operatsiyalar!$E:$E,"kirim")</f>
        <v/>
      </c>
      <c r="H12" s="8">
        <f>SUMIFS(Operatsiyalar!$I:$I,Operatsiyalar!$C:$C,A12,Operatsiyalar!$E:$E,"chiqim")</f>
        <v/>
      </c>
      <c r="I12" s="8">
        <f>SUMIFS(Operatsiyalar!$J:$J,Operatsiyalar!$C:$C,A12,Operatsiyalar!$E:$E,"chiqim")</f>
        <v/>
      </c>
      <c r="J12" s="8">
        <f>D12+H12-F12</f>
        <v/>
      </c>
      <c r="K12" s="8">
        <f>E12+I12-G12</f>
        <v/>
      </c>
    </row>
    <row r="13">
      <c r="A13" s="5" t="n">
        <v>10</v>
      </c>
      <c r="B13" s="5" t="inlineStr">
        <is>
          <t>Mutex</t>
        </is>
      </c>
      <c r="C13" s="6" t="inlineStr">
        <is>
          <t>907777772</t>
        </is>
      </c>
      <c r="D13" s="8" t="n">
        <v>0</v>
      </c>
      <c r="E13" s="8" t="n">
        <v>0</v>
      </c>
      <c r="F13" s="8">
        <f>SUMIFS(Operatsiyalar!$I:$I,Operatsiyalar!$C:$C,A13,Operatsiyalar!$E:$E,"kirim")</f>
        <v/>
      </c>
      <c r="G13" s="8">
        <f>SUMIFS(Operatsiyalar!$J:$J,Operatsiyalar!$C:$C,A13,Operatsiyalar!$E:$E,"kirim")</f>
        <v/>
      </c>
      <c r="H13" s="8">
        <f>SUMIFS(Operatsiyalar!$I:$I,Operatsiyalar!$C:$C,A13,Operatsiyalar!$E:$E,"chiqim")</f>
        <v/>
      </c>
      <c r="I13" s="8">
        <f>SUMIFS(Operatsiyalar!$J:$J,Operatsiyalar!$C:$C,A13,Operatsiyalar!$E:$E,"chiqim")</f>
        <v/>
      </c>
      <c r="J13" s="8">
        <f>D13+H13-F13</f>
        <v/>
      </c>
      <c r="K13" s="8">
        <f>E13+I13-G13</f>
        <v/>
      </c>
    </row>
    <row r="14">
      <c r="A14" s="5" t="n">
        <v>11</v>
      </c>
      <c r="B14" s="5" t="inlineStr">
        <is>
          <t>Murotjon</t>
        </is>
      </c>
      <c r="C14" s="6" t="inlineStr">
        <is>
          <t>912059898</t>
        </is>
      </c>
      <c r="D14" s="8" t="n">
        <v>0</v>
      </c>
      <c r="E14" s="8" t="n">
        <v>0</v>
      </c>
      <c r="F14" s="8">
        <f>SUMIFS(Operatsiyalar!$I:$I,Operatsiyalar!$C:$C,A14,Operatsiyalar!$E:$E,"kirim")</f>
        <v/>
      </c>
      <c r="G14" s="8">
        <f>SUMIFS(Operatsiyalar!$J:$J,Operatsiyalar!$C:$C,A14,Operatsiyalar!$E:$E,"kirim")</f>
        <v/>
      </c>
      <c r="H14" s="8">
        <f>SUMIFS(Operatsiyalar!$I:$I,Operatsiyalar!$C:$C,A14,Operatsiyalar!$E:$E,"chiqim")</f>
        <v/>
      </c>
      <c r="I14" s="8">
        <f>SUMIFS(Operatsiyalar!$J:$J,Operatsiyalar!$C:$C,A14,Operatsiyalar!$E:$E,"chiqim")</f>
        <v/>
      </c>
      <c r="J14" s="8">
        <f>D14+H14-F14</f>
        <v/>
      </c>
      <c r="K14" s="8">
        <f>E14+I14-G14</f>
        <v/>
      </c>
    </row>
    <row r="15">
      <c r="A15" s="5" t="n">
        <v>12</v>
      </c>
      <c r="B15" s="5" t="inlineStr">
        <is>
          <t>Islomxon Usta eski</t>
        </is>
      </c>
      <c r="C15" s="6" t="inlineStr">
        <is>
          <t>946656768</t>
        </is>
      </c>
      <c r="D15" s="8" t="n">
        <v>0</v>
      </c>
      <c r="E15" s="8" t="n">
        <v>0</v>
      </c>
      <c r="F15" s="8">
        <f>SUMIFS(Operatsiyalar!$I:$I,Operatsiyalar!$C:$C,A15,Operatsiyalar!$E:$E,"kirim")</f>
        <v/>
      </c>
      <c r="G15" s="8">
        <f>SUMIFS(Operatsiyalar!$J:$J,Operatsiyalar!$C:$C,A15,Operatsiyalar!$E:$E,"kirim")</f>
        <v/>
      </c>
      <c r="H15" s="8">
        <f>SUMIFS(Operatsiyalar!$I:$I,Operatsiyalar!$C:$C,A15,Operatsiyalar!$E:$E,"chiqim")</f>
        <v/>
      </c>
      <c r="I15" s="8">
        <f>SUMIFS(Operatsiyalar!$J:$J,Operatsiyalar!$C:$C,A15,Operatsiyalar!$E:$E,"chiqim")</f>
        <v/>
      </c>
      <c r="J15" s="8">
        <f>D15+H15-F15</f>
        <v/>
      </c>
      <c r="K15" s="8">
        <f>E15+I15-G15</f>
        <v/>
      </c>
    </row>
    <row r="16">
      <c r="A16" s="5" t="n">
        <v>14</v>
      </c>
      <c r="B16" s="5" t="inlineStr">
        <is>
          <t>Alisher Aka Usta</t>
        </is>
      </c>
      <c r="C16" s="6" t="inlineStr">
        <is>
          <t>905862874</t>
        </is>
      </c>
      <c r="D16" s="8" t="n">
        <v>0</v>
      </c>
      <c r="E16" s="8" t="n">
        <v>0</v>
      </c>
      <c r="F16" s="8">
        <f>SUMIFS(Operatsiyalar!$I:$I,Operatsiyalar!$C:$C,A16,Operatsiyalar!$E:$E,"kirim")</f>
        <v/>
      </c>
      <c r="G16" s="8">
        <f>SUMIFS(Operatsiyalar!$J:$J,Operatsiyalar!$C:$C,A16,Operatsiyalar!$E:$E,"kirim")</f>
        <v/>
      </c>
      <c r="H16" s="8">
        <f>SUMIFS(Operatsiyalar!$I:$I,Operatsiyalar!$C:$C,A16,Operatsiyalar!$E:$E,"chiqim")</f>
        <v/>
      </c>
      <c r="I16" s="8">
        <f>SUMIFS(Operatsiyalar!$J:$J,Operatsiyalar!$C:$C,A16,Operatsiyalar!$E:$E,"chiqim")</f>
        <v/>
      </c>
      <c r="J16" s="8">
        <f>D16+H16-F16</f>
        <v/>
      </c>
      <c r="K16" s="8">
        <f>E16+I16-G16</f>
        <v/>
      </c>
    </row>
    <row r="17">
      <c r="A17" s="5" t="n">
        <v>15</v>
      </c>
      <c r="B17" s="5" t="inlineStr">
        <is>
          <t>Alisher Aka 0922</t>
        </is>
      </c>
      <c r="C17" s="6" t="inlineStr">
        <is>
          <t>945560922</t>
        </is>
      </c>
      <c r="D17" s="8" t="n">
        <v>905633010</v>
      </c>
      <c r="E17" s="8" t="n">
        <v>0</v>
      </c>
      <c r="F17" s="8">
        <f>SUMIFS(Operatsiyalar!$I:$I,Operatsiyalar!$C:$C,A17,Operatsiyalar!$E:$E,"kirim")</f>
        <v/>
      </c>
      <c r="G17" s="8">
        <f>SUMIFS(Operatsiyalar!$J:$J,Operatsiyalar!$C:$C,A17,Operatsiyalar!$E:$E,"kirim")</f>
        <v/>
      </c>
      <c r="H17" s="8">
        <f>SUMIFS(Operatsiyalar!$I:$I,Operatsiyalar!$C:$C,A17,Operatsiyalar!$E:$E,"chiqim")</f>
        <v/>
      </c>
      <c r="I17" s="8">
        <f>SUMIFS(Operatsiyalar!$J:$J,Operatsiyalar!$C:$C,A17,Operatsiyalar!$E:$E,"chiqim")</f>
        <v/>
      </c>
      <c r="J17" s="8">
        <f>D17+H17-F17</f>
        <v/>
      </c>
      <c r="K17" s="8">
        <f>E17+I17-G17</f>
        <v/>
      </c>
    </row>
    <row r="18">
      <c r="A18" s="5" t="n">
        <v>16</v>
      </c>
      <c r="B18" s="5" t="inlineStr">
        <is>
          <t>Dildor Apa</t>
        </is>
      </c>
      <c r="C18" s="6" t="inlineStr">
        <is>
          <t>905633010</t>
        </is>
      </c>
      <c r="D18" s="8" t="n">
        <v>0</v>
      </c>
      <c r="E18" s="8" t="n">
        <v>0</v>
      </c>
      <c r="F18" s="8">
        <f>SUMIFS(Operatsiyalar!$I:$I,Operatsiyalar!$C:$C,A18,Operatsiyalar!$E:$E,"kirim")</f>
        <v/>
      </c>
      <c r="G18" s="8">
        <f>SUMIFS(Operatsiyalar!$J:$J,Operatsiyalar!$C:$C,A18,Operatsiyalar!$E:$E,"kirim")</f>
        <v/>
      </c>
      <c r="H18" s="8">
        <f>SUMIFS(Operatsiyalar!$I:$I,Operatsiyalar!$C:$C,A18,Operatsiyalar!$E:$E,"chiqim")</f>
        <v/>
      </c>
      <c r="I18" s="8">
        <f>SUMIFS(Operatsiyalar!$J:$J,Operatsiyalar!$C:$C,A18,Operatsiyalar!$E:$E,"chiqim")</f>
        <v/>
      </c>
      <c r="J18" s="8">
        <f>D18+H18-F18</f>
        <v/>
      </c>
      <c r="K18" s="8">
        <f>E18+I18-G18</f>
        <v/>
      </c>
    </row>
    <row r="19">
      <c r="A19" s="5" t="n">
        <v>17</v>
      </c>
      <c r="B19" s="5" t="inlineStr">
        <is>
          <t>Rovshan Aka Uzb</t>
        </is>
      </c>
      <c r="C19" s="6" t="inlineStr">
        <is>
          <t>973360000</t>
        </is>
      </c>
      <c r="D19" s="8" t="n">
        <v>0</v>
      </c>
      <c r="E19" s="8" t="n">
        <v>0</v>
      </c>
      <c r="F19" s="8">
        <f>SUMIFS(Operatsiyalar!$I:$I,Operatsiyalar!$C:$C,A19,Operatsiyalar!$E:$E,"kirim")</f>
        <v/>
      </c>
      <c r="G19" s="8">
        <f>SUMIFS(Operatsiyalar!$J:$J,Operatsiyalar!$C:$C,A19,Operatsiyalar!$E:$E,"kirim")</f>
        <v/>
      </c>
      <c r="H19" s="8">
        <f>SUMIFS(Operatsiyalar!$I:$I,Operatsiyalar!$C:$C,A19,Operatsiyalar!$E:$E,"chiqim")</f>
        <v/>
      </c>
      <c r="I19" s="8">
        <f>SUMIFS(Operatsiyalar!$J:$J,Operatsiyalar!$C:$C,A19,Operatsiyalar!$E:$E,"chiqim")</f>
        <v/>
      </c>
      <c r="J19" s="8">
        <f>D19+H19-F19</f>
        <v/>
      </c>
      <c r="K19" s="8">
        <f>E19+I19-G19</f>
        <v/>
      </c>
    </row>
    <row r="20">
      <c r="A20" s="5" t="n">
        <v>18</v>
      </c>
      <c r="B20" s="5" t="inlineStr">
        <is>
          <t>Abdumo'min Aka</t>
        </is>
      </c>
      <c r="C20" s="6" t="inlineStr">
        <is>
          <t>906271404
937347111</t>
        </is>
      </c>
      <c r="D20" s="8" t="n">
        <v>0</v>
      </c>
      <c r="E20" s="8" t="n">
        <v>0</v>
      </c>
      <c r="F20" s="8">
        <f>SUMIFS(Operatsiyalar!$I:$I,Operatsiyalar!$C:$C,A20,Operatsiyalar!$E:$E,"kirim")</f>
        <v/>
      </c>
      <c r="G20" s="8">
        <f>SUMIFS(Operatsiyalar!$J:$J,Operatsiyalar!$C:$C,A20,Operatsiyalar!$E:$E,"kirim")</f>
        <v/>
      </c>
      <c r="H20" s="8">
        <f>SUMIFS(Operatsiyalar!$I:$I,Operatsiyalar!$C:$C,A20,Operatsiyalar!$E:$E,"chiqim")</f>
        <v/>
      </c>
      <c r="I20" s="8">
        <f>SUMIFS(Operatsiyalar!$J:$J,Operatsiyalar!$C:$C,A20,Operatsiyalar!$E:$E,"chiqim")</f>
        <v/>
      </c>
      <c r="J20" s="8">
        <f>D20+H20-F20</f>
        <v/>
      </c>
      <c r="K20" s="8">
        <f>E20+I20-G20</f>
        <v/>
      </c>
    </row>
    <row r="21">
      <c r="A21" s="5" t="n">
        <v>19</v>
      </c>
      <c r="B21" s="5" t="inlineStr">
        <is>
          <t>Ilxom Aka 0083</t>
        </is>
      </c>
      <c r="C21" s="6" t="inlineStr">
        <is>
          <t>918117777</t>
        </is>
      </c>
      <c r="D21" s="8" t="n">
        <v>0</v>
      </c>
      <c r="E21" s="8" t="n">
        <v>0</v>
      </c>
      <c r="F21" s="8">
        <f>SUMIFS(Operatsiyalar!$I:$I,Operatsiyalar!$C:$C,A21,Operatsiyalar!$E:$E,"kirim")</f>
        <v/>
      </c>
      <c r="G21" s="8">
        <f>SUMIFS(Operatsiyalar!$J:$J,Operatsiyalar!$C:$C,A21,Operatsiyalar!$E:$E,"kirim")</f>
        <v/>
      </c>
      <c r="H21" s="8">
        <f>SUMIFS(Operatsiyalar!$I:$I,Operatsiyalar!$C:$C,A21,Operatsiyalar!$E:$E,"chiqim")</f>
        <v/>
      </c>
      <c r="I21" s="8">
        <f>SUMIFS(Operatsiyalar!$J:$J,Operatsiyalar!$C:$C,A21,Operatsiyalar!$E:$E,"chiqim")</f>
        <v/>
      </c>
      <c r="J21" s="8">
        <f>D21+H21-F21</f>
        <v/>
      </c>
      <c r="K21" s="8">
        <f>E21+I21-G21</f>
        <v/>
      </c>
    </row>
    <row r="22">
      <c r="A22" s="5" t="n">
        <v>20</v>
      </c>
      <c r="B22" s="5" t="inlineStr">
        <is>
          <t>Abdurahmon Aka</t>
        </is>
      </c>
      <c r="C22" s="6" t="inlineStr">
        <is>
          <t>911505045</t>
        </is>
      </c>
      <c r="D22" s="8" t="n">
        <v>0</v>
      </c>
      <c r="E22" s="8" t="n">
        <v>0</v>
      </c>
      <c r="F22" s="8">
        <f>SUMIFS(Operatsiyalar!$I:$I,Operatsiyalar!$C:$C,A22,Operatsiyalar!$E:$E,"kirim")</f>
        <v/>
      </c>
      <c r="G22" s="8">
        <f>SUMIFS(Operatsiyalar!$J:$J,Operatsiyalar!$C:$C,A22,Operatsiyalar!$E:$E,"kirim")</f>
        <v/>
      </c>
      <c r="H22" s="8">
        <f>SUMIFS(Operatsiyalar!$I:$I,Operatsiyalar!$C:$C,A22,Operatsiyalar!$E:$E,"chiqim")</f>
        <v/>
      </c>
      <c r="I22" s="8">
        <f>SUMIFS(Operatsiyalar!$J:$J,Operatsiyalar!$C:$C,A22,Operatsiyalar!$E:$E,"chiqim")</f>
        <v/>
      </c>
      <c r="J22" s="8">
        <f>D22+H22-F22</f>
        <v/>
      </c>
      <c r="K22" s="8">
        <f>E22+I22-G22</f>
        <v/>
      </c>
    </row>
    <row r="23">
      <c r="A23" s="5" t="n">
        <v>21</v>
      </c>
      <c r="B23" s="5" t="inlineStr">
        <is>
          <t>Husniddin Aka</t>
        </is>
      </c>
      <c r="C23" s="6" t="inlineStr">
        <is>
          <t>905568705</t>
        </is>
      </c>
      <c r="D23" s="8" t="n">
        <v>0</v>
      </c>
      <c r="E23" s="8" t="n">
        <v>0</v>
      </c>
      <c r="F23" s="8">
        <f>SUMIFS(Operatsiyalar!$I:$I,Operatsiyalar!$C:$C,A23,Operatsiyalar!$E:$E,"kirim")</f>
        <v/>
      </c>
      <c r="G23" s="8">
        <f>SUMIFS(Operatsiyalar!$J:$J,Operatsiyalar!$C:$C,A23,Operatsiyalar!$E:$E,"kirim")</f>
        <v/>
      </c>
      <c r="H23" s="8">
        <f>SUMIFS(Operatsiyalar!$I:$I,Operatsiyalar!$C:$C,A23,Operatsiyalar!$E:$E,"chiqim")</f>
        <v/>
      </c>
      <c r="I23" s="8">
        <f>SUMIFS(Operatsiyalar!$J:$J,Operatsiyalar!$C:$C,A23,Operatsiyalar!$E:$E,"chiqim")</f>
        <v/>
      </c>
      <c r="J23" s="8">
        <f>D23+H23-F23</f>
        <v/>
      </c>
      <c r="K23" s="8">
        <f>E23+I23-G23</f>
        <v/>
      </c>
    </row>
    <row r="24">
      <c r="A24" s="5" t="n">
        <v>22</v>
      </c>
      <c r="B24" s="5" t="inlineStr">
        <is>
          <t>Abdumalik A Bal</t>
        </is>
      </c>
      <c r="C24" s="6" t="inlineStr">
        <is>
          <t>916962323</t>
        </is>
      </c>
      <c r="D24" s="8" t="n">
        <v>0</v>
      </c>
      <c r="E24" s="8" t="n">
        <v>0</v>
      </c>
      <c r="F24" s="8">
        <f>SUMIFS(Operatsiyalar!$I:$I,Operatsiyalar!$C:$C,A24,Operatsiyalar!$E:$E,"kirim")</f>
        <v/>
      </c>
      <c r="G24" s="8">
        <f>SUMIFS(Operatsiyalar!$J:$J,Operatsiyalar!$C:$C,A24,Operatsiyalar!$E:$E,"kirim")</f>
        <v/>
      </c>
      <c r="H24" s="8">
        <f>SUMIFS(Operatsiyalar!$I:$I,Operatsiyalar!$C:$C,A24,Operatsiyalar!$E:$E,"chiqim")</f>
        <v/>
      </c>
      <c r="I24" s="8">
        <f>SUMIFS(Operatsiyalar!$J:$J,Operatsiyalar!$C:$C,A24,Operatsiyalar!$E:$E,"chiqim")</f>
        <v/>
      </c>
      <c r="J24" s="8">
        <f>D24+H24-F24</f>
        <v/>
      </c>
      <c r="K24" s="8">
        <f>E24+I24-G24</f>
        <v/>
      </c>
    </row>
    <row r="25">
      <c r="A25" s="5" t="n">
        <v>23</v>
      </c>
      <c r="B25" s="5" t="inlineStr">
        <is>
          <t>Abdumalik A 2323</t>
        </is>
      </c>
      <c r="C25" s="6" t="inlineStr">
        <is>
          <t>916962323</t>
        </is>
      </c>
      <c r="D25" s="8" t="n">
        <v>0</v>
      </c>
      <c r="E25" s="8" t="n">
        <v>0</v>
      </c>
      <c r="F25" s="8">
        <f>SUMIFS(Operatsiyalar!$I:$I,Operatsiyalar!$C:$C,A25,Operatsiyalar!$E:$E,"kirim")</f>
        <v/>
      </c>
      <c r="G25" s="8">
        <f>SUMIFS(Operatsiyalar!$J:$J,Operatsiyalar!$C:$C,A25,Operatsiyalar!$E:$E,"kirim")</f>
        <v/>
      </c>
      <c r="H25" s="8">
        <f>SUMIFS(Operatsiyalar!$I:$I,Operatsiyalar!$C:$C,A25,Operatsiyalar!$E:$E,"chiqim")</f>
        <v/>
      </c>
      <c r="I25" s="8">
        <f>SUMIFS(Operatsiyalar!$J:$J,Operatsiyalar!$C:$C,A25,Operatsiyalar!$E:$E,"chiqim")</f>
        <v/>
      </c>
      <c r="J25" s="8">
        <f>D25+H25-F25</f>
        <v/>
      </c>
      <c r="K25" s="8">
        <f>E25+I25-G25</f>
        <v/>
      </c>
    </row>
    <row r="26">
      <c r="A26" s="5" t="n">
        <v>24</v>
      </c>
      <c r="B26" s="5" t="inlineStr">
        <is>
          <t>MuhammadAli Bulut</t>
        </is>
      </c>
      <c r="C26" s="6" t="inlineStr">
        <is>
          <t>905715505</t>
        </is>
      </c>
      <c r="D26" s="8" t="n">
        <v>0</v>
      </c>
      <c r="E26" s="8" t="n">
        <v>0</v>
      </c>
      <c r="F26" s="8">
        <f>SUMIFS(Operatsiyalar!$I:$I,Operatsiyalar!$C:$C,A26,Operatsiyalar!$E:$E,"kirim")</f>
        <v/>
      </c>
      <c r="G26" s="8">
        <f>SUMIFS(Operatsiyalar!$J:$J,Operatsiyalar!$C:$C,A26,Operatsiyalar!$E:$E,"kirim")</f>
        <v/>
      </c>
      <c r="H26" s="8">
        <f>SUMIFS(Operatsiyalar!$I:$I,Operatsiyalar!$C:$C,A26,Operatsiyalar!$E:$E,"chiqim")</f>
        <v/>
      </c>
      <c r="I26" s="8">
        <f>SUMIFS(Operatsiyalar!$J:$J,Operatsiyalar!$C:$C,A26,Operatsiyalar!$E:$E,"chiqim")</f>
        <v/>
      </c>
      <c r="J26" s="8">
        <f>D26+H26-F26</f>
        <v/>
      </c>
      <c r="K26" s="8">
        <f>E26+I26-G26</f>
        <v/>
      </c>
    </row>
    <row r="27">
      <c r="A27" s="5" t="n">
        <v>25</v>
      </c>
      <c r="B27" s="5" t="inlineStr">
        <is>
          <t>Umar Aka</t>
        </is>
      </c>
      <c r="C27" s="6" t="inlineStr">
        <is>
          <t>916973366</t>
        </is>
      </c>
      <c r="D27" s="8" t="n">
        <v>0</v>
      </c>
      <c r="E27" s="8" t="n">
        <v>0</v>
      </c>
      <c r="F27" s="8">
        <f>SUMIFS(Operatsiyalar!$I:$I,Operatsiyalar!$C:$C,A27,Operatsiyalar!$E:$E,"kirim")</f>
        <v/>
      </c>
      <c r="G27" s="8">
        <f>SUMIFS(Operatsiyalar!$J:$J,Operatsiyalar!$C:$C,A27,Operatsiyalar!$E:$E,"kirim")</f>
        <v/>
      </c>
      <c r="H27" s="8">
        <f>SUMIFS(Operatsiyalar!$I:$I,Operatsiyalar!$C:$C,A27,Operatsiyalar!$E:$E,"chiqim")</f>
        <v/>
      </c>
      <c r="I27" s="8">
        <f>SUMIFS(Operatsiyalar!$J:$J,Operatsiyalar!$C:$C,A27,Operatsiyalar!$E:$E,"chiqim")</f>
        <v/>
      </c>
      <c r="J27" s="8">
        <f>D27+H27-F27</f>
        <v/>
      </c>
      <c r="K27" s="8">
        <f>E27+I27-G27</f>
        <v/>
      </c>
    </row>
    <row r="28">
      <c r="A28" s="5" t="n">
        <v>26</v>
      </c>
      <c r="B28" s="5" t="inlineStr">
        <is>
          <t>Avaz Aka Marg'ilon</t>
        </is>
      </c>
      <c r="C28" s="6" t="inlineStr">
        <is>
          <t>916511666</t>
        </is>
      </c>
      <c r="D28" s="8" t="n">
        <v>0</v>
      </c>
      <c r="E28" s="8" t="n">
        <v>0</v>
      </c>
      <c r="F28" s="8">
        <f>SUMIFS(Operatsiyalar!$I:$I,Operatsiyalar!$C:$C,A28,Operatsiyalar!$E:$E,"kirim")</f>
        <v/>
      </c>
      <c r="G28" s="8">
        <f>SUMIFS(Operatsiyalar!$J:$J,Operatsiyalar!$C:$C,A28,Operatsiyalar!$E:$E,"kirim")</f>
        <v/>
      </c>
      <c r="H28" s="8">
        <f>SUMIFS(Operatsiyalar!$I:$I,Operatsiyalar!$C:$C,A28,Operatsiyalar!$E:$E,"chiqim")</f>
        <v/>
      </c>
      <c r="I28" s="8">
        <f>SUMIFS(Operatsiyalar!$J:$J,Operatsiyalar!$C:$C,A28,Operatsiyalar!$E:$E,"chiqim")</f>
        <v/>
      </c>
      <c r="J28" s="8">
        <f>D28+H28-F28</f>
        <v/>
      </c>
      <c r="K28" s="8">
        <f>E28+I28-G28</f>
        <v/>
      </c>
    </row>
    <row r="29">
      <c r="A29" s="5" t="n">
        <v>27</v>
      </c>
      <c r="B29" s="5" t="inlineStr">
        <is>
          <t>Islomxon usta Ganjiravon</t>
        </is>
      </c>
      <c r="C29" s="6" t="inlineStr">
        <is>
          <t>946656768</t>
        </is>
      </c>
      <c r="D29" s="8" t="n">
        <v>4752000</v>
      </c>
      <c r="E29" s="8" t="n">
        <v>0</v>
      </c>
      <c r="F29" s="8">
        <f>SUMIFS(Operatsiyalar!$I:$I,Operatsiyalar!$C:$C,A29,Operatsiyalar!$E:$E,"kirim")</f>
        <v/>
      </c>
      <c r="G29" s="8">
        <f>SUMIFS(Operatsiyalar!$J:$J,Operatsiyalar!$C:$C,A29,Operatsiyalar!$E:$E,"kirim")</f>
        <v/>
      </c>
      <c r="H29" s="8">
        <f>SUMIFS(Operatsiyalar!$I:$I,Operatsiyalar!$C:$C,A29,Operatsiyalar!$E:$E,"chiqim")</f>
        <v/>
      </c>
      <c r="I29" s="8">
        <f>SUMIFS(Operatsiyalar!$J:$J,Operatsiyalar!$C:$C,A29,Operatsiyalar!$E:$E,"chiqim")</f>
        <v/>
      </c>
      <c r="J29" s="8">
        <f>D29+H29-F29</f>
        <v/>
      </c>
      <c r="K29" s="8">
        <f>E29+I29-G29</f>
        <v/>
      </c>
    </row>
    <row r="30">
      <c r="A30" s="5" t="n"/>
      <c r="B30" s="5" t="n"/>
      <c r="C30" s="6" t="n"/>
      <c r="D30" s="8" t="n"/>
      <c r="E30" s="8" t="n"/>
      <c r="F30" s="8">
        <f>IF(A34="","",SUMIFS(Operatsiyalar!$I:$I,Operatsiyalar!$C:$C,A34,Operatsiyalar!$E:$E,"kirim"))</f>
        <v/>
      </c>
      <c r="G30" s="8">
        <f>IF(A34="","",SUMIFS(Operatsiyalar!$J:$J,Operatsiyalar!$C:$C,A34,Operatsiyalar!$E:$E,"kirim"))</f>
        <v/>
      </c>
      <c r="H30" s="8">
        <f>IF(A34="","",SUMIFS(Operatsiyalar!$I:$I,Operatsiyalar!$C:$C,A34,Operatsiyalar!$E:$E,"chiqim"))</f>
        <v/>
      </c>
      <c r="I30" s="8">
        <f>IF(A34="","",SUMIFS(Operatsiyalar!$J:$J,Operatsiyalar!$C:$C,A34,Operatsiyalar!$E:$E,"chiqim"))</f>
        <v/>
      </c>
      <c r="J30" s="8">
        <f>IF(A34="","",D34+H34-F34)</f>
        <v/>
      </c>
      <c r="K30" s="8">
        <f>IF(A34="","",E34+I34-G34)</f>
        <v/>
      </c>
    </row>
    <row r="31">
      <c r="A31" s="5" t="n"/>
      <c r="B31" s="5" t="n"/>
      <c r="C31" s="6" t="n"/>
      <c r="D31" s="8" t="n"/>
      <c r="E31" s="8" t="n"/>
      <c r="F31" s="8">
        <f>IF(A35="","",SUMIFS(Operatsiyalar!$I:$I,Operatsiyalar!$C:$C,A35,Operatsiyalar!$E:$E,"kirim"))</f>
        <v/>
      </c>
      <c r="G31" s="8">
        <f>IF(A35="","",SUMIFS(Operatsiyalar!$J:$J,Operatsiyalar!$C:$C,A35,Operatsiyalar!$E:$E,"kirim"))</f>
        <v/>
      </c>
      <c r="H31" s="8">
        <f>IF(A35="","",SUMIFS(Operatsiyalar!$I:$I,Operatsiyalar!$C:$C,A35,Operatsiyalar!$E:$E,"chiqim"))</f>
        <v/>
      </c>
      <c r="I31" s="8">
        <f>IF(A35="","",SUMIFS(Operatsiyalar!$J:$J,Operatsiyalar!$C:$C,A35,Operatsiyalar!$E:$E,"chiqim"))</f>
        <v/>
      </c>
      <c r="J31" s="8">
        <f>IF(A35="","",D35+H35-F35)</f>
        <v/>
      </c>
      <c r="K31" s="8">
        <f>IF(A35="","",E35+I35-G35)</f>
        <v/>
      </c>
    </row>
    <row r="32">
      <c r="A32" s="5" t="n"/>
      <c r="B32" s="5" t="n"/>
      <c r="C32" s="6" t="n"/>
      <c r="D32" s="8" t="n"/>
      <c r="E32" s="8" t="n"/>
      <c r="F32" s="8">
        <f>IF(A36="","",SUMIFS(Operatsiyalar!$I:$I,Operatsiyalar!$C:$C,A36,Operatsiyalar!$E:$E,"kirim"))</f>
        <v/>
      </c>
      <c r="G32" s="8">
        <f>IF(A36="","",SUMIFS(Operatsiyalar!$J:$J,Operatsiyalar!$C:$C,A36,Operatsiyalar!$E:$E,"kirim"))</f>
        <v/>
      </c>
      <c r="H32" s="8">
        <f>IF(A36="","",SUMIFS(Operatsiyalar!$I:$I,Operatsiyalar!$C:$C,A36,Operatsiyalar!$E:$E,"chiqim"))</f>
        <v/>
      </c>
      <c r="I32" s="8">
        <f>IF(A36="","",SUMIFS(Operatsiyalar!$J:$J,Operatsiyalar!$C:$C,A36,Operatsiyalar!$E:$E,"chiqim"))</f>
        <v/>
      </c>
      <c r="J32" s="8">
        <f>IF(A36="","",D36+H36-F36)</f>
        <v/>
      </c>
      <c r="K32" s="8">
        <f>IF(A36="","",E36+I36-G36)</f>
        <v/>
      </c>
    </row>
    <row r="33">
      <c r="A33" s="5" t="n"/>
      <c r="B33" s="5" t="n"/>
      <c r="C33" s="6" t="n"/>
      <c r="D33" s="8" t="n"/>
      <c r="E33" s="8" t="n"/>
      <c r="F33" s="8">
        <f>IF(A37="","",SUMIFS(Operatsiyalar!$I:$I,Operatsiyalar!$C:$C,A37,Operatsiyalar!$E:$E,"kirim"))</f>
        <v/>
      </c>
      <c r="G33" s="8">
        <f>IF(A37="","",SUMIFS(Operatsiyalar!$J:$J,Operatsiyalar!$C:$C,A37,Operatsiyalar!$E:$E,"kirim"))</f>
        <v/>
      </c>
      <c r="H33" s="8">
        <f>IF(A37="","",SUMIFS(Operatsiyalar!$I:$I,Operatsiyalar!$C:$C,A37,Operatsiyalar!$E:$E,"chiqim"))</f>
        <v/>
      </c>
      <c r="I33" s="8">
        <f>IF(A37="","",SUMIFS(Operatsiyalar!$J:$J,Operatsiyalar!$C:$C,A37,Operatsiyalar!$E:$E,"chiqim"))</f>
        <v/>
      </c>
      <c r="J33" s="8">
        <f>IF(A37="","",D37+H37-F37)</f>
        <v/>
      </c>
      <c r="K33" s="8">
        <f>IF(A37="","",E37+I37-G37)</f>
        <v/>
      </c>
    </row>
    <row r="34">
      <c r="A34" s="5" t="n"/>
      <c r="B34" s="5" t="n"/>
      <c r="C34" s="6" t="n"/>
      <c r="D34" s="8" t="n"/>
      <c r="E34" s="8" t="n"/>
      <c r="F34" s="8">
        <f>IF(A38="","",SUMIFS(Operatsiyalar!$I:$I,Operatsiyalar!$C:$C,A38,Operatsiyalar!$E:$E,"kirim"))</f>
        <v/>
      </c>
      <c r="G34" s="8">
        <f>IF(A38="","",SUMIFS(Operatsiyalar!$J:$J,Operatsiyalar!$C:$C,A38,Operatsiyalar!$E:$E,"kirim"))</f>
        <v/>
      </c>
      <c r="H34" s="8">
        <f>IF(A38="","",SUMIFS(Operatsiyalar!$I:$I,Operatsiyalar!$C:$C,A38,Operatsiyalar!$E:$E,"chiqim"))</f>
        <v/>
      </c>
      <c r="I34" s="8">
        <f>IF(A38="","",SUMIFS(Operatsiyalar!$J:$J,Operatsiyalar!$C:$C,A38,Operatsiyalar!$E:$E,"chiqim"))</f>
        <v/>
      </c>
      <c r="J34" s="8">
        <f>IF(A38="","",D38+H38-F38)</f>
        <v/>
      </c>
      <c r="K34" s="8">
        <f>IF(A38="","",E38+I38-G38)</f>
        <v/>
      </c>
    </row>
    <row r="35">
      <c r="A35" s="5" t="n"/>
      <c r="B35" s="5" t="n"/>
      <c r="C35" s="6" t="n"/>
      <c r="D35" s="8" t="n"/>
      <c r="E35" s="8" t="n"/>
      <c r="F35" s="8">
        <f>IF(A39="","",SUMIFS(Operatsiyalar!$I:$I,Operatsiyalar!$C:$C,A39,Operatsiyalar!$E:$E,"kirim"))</f>
        <v/>
      </c>
      <c r="G35" s="8">
        <f>IF(A39="","",SUMIFS(Operatsiyalar!$J:$J,Operatsiyalar!$C:$C,A39,Operatsiyalar!$E:$E,"kirim"))</f>
        <v/>
      </c>
      <c r="H35" s="8">
        <f>IF(A39="","",SUMIFS(Operatsiyalar!$I:$I,Operatsiyalar!$C:$C,A39,Operatsiyalar!$E:$E,"chiqim"))</f>
        <v/>
      </c>
      <c r="I35" s="8">
        <f>IF(A39="","",SUMIFS(Operatsiyalar!$J:$J,Operatsiyalar!$C:$C,A39,Operatsiyalar!$E:$E,"chiqim"))</f>
        <v/>
      </c>
      <c r="J35" s="8">
        <f>IF(A39="","",D39+H39-F39)</f>
        <v/>
      </c>
      <c r="K35" s="8">
        <f>IF(A39="","",E39+I39-G39)</f>
        <v/>
      </c>
    </row>
    <row r="36">
      <c r="A36" s="5" t="n"/>
      <c r="B36" s="5" t="n"/>
      <c r="C36" s="6" t="n"/>
      <c r="D36" s="8" t="n"/>
      <c r="E36" s="8" t="n"/>
      <c r="F36" s="8">
        <f>IF(A40="","",SUMIFS(Operatsiyalar!$I:$I,Operatsiyalar!$C:$C,A40,Operatsiyalar!$E:$E,"kirim"))</f>
        <v/>
      </c>
      <c r="G36" s="8">
        <f>IF(A40="","",SUMIFS(Operatsiyalar!$J:$J,Operatsiyalar!$C:$C,A40,Operatsiyalar!$E:$E,"kirim"))</f>
        <v/>
      </c>
      <c r="H36" s="8">
        <f>IF(A40="","",SUMIFS(Operatsiyalar!$I:$I,Operatsiyalar!$C:$C,A40,Operatsiyalar!$E:$E,"chiqim"))</f>
        <v/>
      </c>
      <c r="I36" s="8">
        <f>IF(A40="","",SUMIFS(Operatsiyalar!$J:$J,Operatsiyalar!$C:$C,A40,Operatsiyalar!$E:$E,"chiqim"))</f>
        <v/>
      </c>
      <c r="J36" s="8">
        <f>IF(A40="","",D40+H40-F40)</f>
        <v/>
      </c>
      <c r="K36" s="8">
        <f>IF(A40="","",E40+I40-G40)</f>
        <v/>
      </c>
    </row>
    <row r="37">
      <c r="A37" s="5" t="n"/>
      <c r="B37" s="5" t="n"/>
      <c r="C37" s="6" t="n"/>
      <c r="D37" s="8" t="n"/>
      <c r="E37" s="8" t="n"/>
      <c r="F37" s="8">
        <f>IF(A41="","",SUMIFS(Operatsiyalar!$I:$I,Operatsiyalar!$C:$C,A41,Operatsiyalar!$E:$E,"kirim"))</f>
        <v/>
      </c>
      <c r="G37" s="8">
        <f>IF(A41="","",SUMIFS(Operatsiyalar!$J:$J,Operatsiyalar!$C:$C,A41,Operatsiyalar!$E:$E,"kirim"))</f>
        <v/>
      </c>
      <c r="H37" s="8">
        <f>IF(A41="","",SUMIFS(Operatsiyalar!$I:$I,Operatsiyalar!$C:$C,A41,Operatsiyalar!$E:$E,"chiqim"))</f>
        <v/>
      </c>
      <c r="I37" s="8">
        <f>IF(A41="","",SUMIFS(Operatsiyalar!$J:$J,Operatsiyalar!$C:$C,A41,Operatsiyalar!$E:$E,"chiqim"))</f>
        <v/>
      </c>
      <c r="J37" s="8">
        <f>IF(A41="","",D41+H41-F41)</f>
        <v/>
      </c>
      <c r="K37" s="8">
        <f>IF(A41="","",E41+I41-G41)</f>
        <v/>
      </c>
    </row>
    <row r="38">
      <c r="A38" s="5" t="n"/>
      <c r="B38" s="5" t="n"/>
      <c r="C38" s="6" t="n"/>
      <c r="D38" s="8" t="n"/>
      <c r="E38" s="8" t="n"/>
      <c r="F38" s="8">
        <f>IF(A42="","",SUMIFS(Operatsiyalar!$I:$I,Operatsiyalar!$C:$C,A42,Operatsiyalar!$E:$E,"kirim"))</f>
        <v/>
      </c>
      <c r="G38" s="8">
        <f>IF(A42="","",SUMIFS(Operatsiyalar!$J:$J,Operatsiyalar!$C:$C,A42,Operatsiyalar!$E:$E,"kirim"))</f>
        <v/>
      </c>
      <c r="H38" s="8">
        <f>IF(A42="","",SUMIFS(Operatsiyalar!$I:$I,Operatsiyalar!$C:$C,A42,Operatsiyalar!$E:$E,"chiqim"))</f>
        <v/>
      </c>
      <c r="I38" s="8">
        <f>IF(A42="","",SUMIFS(Operatsiyalar!$J:$J,Operatsiyalar!$C:$C,A42,Operatsiyalar!$E:$E,"chiqim"))</f>
        <v/>
      </c>
      <c r="J38" s="8">
        <f>IF(A42="","",D42+H42-F42)</f>
        <v/>
      </c>
      <c r="K38" s="8">
        <f>IF(A42="","",E42+I42-G42)</f>
        <v/>
      </c>
    </row>
    <row r="39">
      <c r="A39" s="5" t="n"/>
      <c r="B39" s="5" t="n"/>
      <c r="C39" s="6" t="n"/>
      <c r="D39" s="8" t="n"/>
      <c r="E39" s="8" t="n"/>
      <c r="F39" s="8">
        <f>IF(A43="","",SUMIFS(Operatsiyalar!$I:$I,Operatsiyalar!$C:$C,A43,Operatsiyalar!$E:$E,"kirim"))</f>
        <v/>
      </c>
      <c r="G39" s="8">
        <f>IF(A43="","",SUMIFS(Operatsiyalar!$J:$J,Operatsiyalar!$C:$C,A43,Operatsiyalar!$E:$E,"kirim"))</f>
        <v/>
      </c>
      <c r="H39" s="8">
        <f>IF(A43="","",SUMIFS(Operatsiyalar!$I:$I,Operatsiyalar!$C:$C,A43,Operatsiyalar!$E:$E,"chiqim"))</f>
        <v/>
      </c>
      <c r="I39" s="8">
        <f>IF(A43="","",SUMIFS(Operatsiyalar!$J:$J,Operatsiyalar!$C:$C,A43,Operatsiyalar!$E:$E,"chiqim"))</f>
        <v/>
      </c>
      <c r="J39" s="8">
        <f>IF(A43="","",D43+H43-F43)</f>
        <v/>
      </c>
      <c r="K39" s="8">
        <f>IF(A43="","",E43+I43-G43)</f>
        <v/>
      </c>
    </row>
    <row r="40">
      <c r="A40" s="5" t="n"/>
      <c r="B40" s="5" t="n"/>
      <c r="C40" s="6" t="n"/>
      <c r="D40" s="8" t="n"/>
      <c r="E40" s="8" t="n"/>
      <c r="F40" s="8">
        <f>IF(A44="","",SUMIFS(Operatsiyalar!$I:$I,Operatsiyalar!$C:$C,A44,Operatsiyalar!$E:$E,"kirim"))</f>
        <v/>
      </c>
      <c r="G40" s="8">
        <f>IF(A44="","",SUMIFS(Operatsiyalar!$J:$J,Operatsiyalar!$C:$C,A44,Operatsiyalar!$E:$E,"kirim"))</f>
        <v/>
      </c>
      <c r="H40" s="8">
        <f>IF(A44="","",SUMIFS(Operatsiyalar!$I:$I,Operatsiyalar!$C:$C,A44,Operatsiyalar!$E:$E,"chiqim"))</f>
        <v/>
      </c>
      <c r="I40" s="8">
        <f>IF(A44="","",SUMIFS(Operatsiyalar!$J:$J,Operatsiyalar!$C:$C,A44,Operatsiyalar!$E:$E,"chiqim"))</f>
        <v/>
      </c>
      <c r="J40" s="8">
        <f>IF(A44="","",D44+H44-F44)</f>
        <v/>
      </c>
      <c r="K40" s="8">
        <f>IF(A44="","",E44+I44-G44)</f>
        <v/>
      </c>
    </row>
    <row r="41">
      <c r="A41" s="5" t="n"/>
      <c r="B41" s="5" t="n"/>
      <c r="C41" s="6" t="n"/>
      <c r="D41" s="8" t="n"/>
      <c r="E41" s="8" t="n"/>
      <c r="F41" s="8">
        <f>IF(A45="","",SUMIFS(Operatsiyalar!$I:$I,Operatsiyalar!$C:$C,A45,Operatsiyalar!$E:$E,"kirim"))</f>
        <v/>
      </c>
      <c r="G41" s="8">
        <f>IF(A45="","",SUMIFS(Operatsiyalar!$J:$J,Operatsiyalar!$C:$C,A45,Operatsiyalar!$E:$E,"kirim"))</f>
        <v/>
      </c>
      <c r="H41" s="8">
        <f>IF(A45="","",SUMIFS(Operatsiyalar!$I:$I,Operatsiyalar!$C:$C,A45,Operatsiyalar!$E:$E,"chiqim"))</f>
        <v/>
      </c>
      <c r="I41" s="8">
        <f>IF(A45="","",SUMIFS(Operatsiyalar!$J:$J,Operatsiyalar!$C:$C,A45,Operatsiyalar!$E:$E,"chiqim"))</f>
        <v/>
      </c>
      <c r="J41" s="8">
        <f>IF(A45="","",D45+H45-F45)</f>
        <v/>
      </c>
      <c r="K41" s="8">
        <f>IF(A45="","",E45+I45-G45)</f>
        <v/>
      </c>
    </row>
    <row r="42">
      <c r="A42" s="5" t="n"/>
      <c r="B42" s="5" t="n"/>
      <c r="C42" s="6" t="n"/>
      <c r="D42" s="8" t="n"/>
      <c r="E42" s="8" t="n"/>
      <c r="F42" s="8">
        <f>IF(A46="","",SUMIFS(Operatsiyalar!$I:$I,Operatsiyalar!$C:$C,A46,Operatsiyalar!$E:$E,"kirim"))</f>
        <v/>
      </c>
      <c r="G42" s="8">
        <f>IF(A46="","",SUMIFS(Operatsiyalar!$J:$J,Operatsiyalar!$C:$C,A46,Operatsiyalar!$E:$E,"kirim"))</f>
        <v/>
      </c>
      <c r="H42" s="8">
        <f>IF(A46="","",SUMIFS(Operatsiyalar!$I:$I,Operatsiyalar!$C:$C,A46,Operatsiyalar!$E:$E,"chiqim"))</f>
        <v/>
      </c>
      <c r="I42" s="8">
        <f>IF(A46="","",SUMIFS(Operatsiyalar!$J:$J,Operatsiyalar!$C:$C,A46,Operatsiyalar!$E:$E,"chiqim"))</f>
        <v/>
      </c>
      <c r="J42" s="8">
        <f>IF(A46="","",D46+H46-F46)</f>
        <v/>
      </c>
      <c r="K42" s="8">
        <f>IF(A46="","",E46+I46-G46)</f>
        <v/>
      </c>
    </row>
    <row r="43">
      <c r="A43" s="5" t="n"/>
      <c r="B43" s="5" t="n"/>
      <c r="C43" s="6" t="n"/>
      <c r="D43" s="8" t="n"/>
      <c r="E43" s="8" t="n"/>
      <c r="F43" s="8">
        <f>IF(A47="","",SUMIFS(Operatsiyalar!$I:$I,Operatsiyalar!$C:$C,A47,Operatsiyalar!$E:$E,"kirim"))</f>
        <v/>
      </c>
      <c r="G43" s="8">
        <f>IF(A47="","",SUMIFS(Operatsiyalar!$J:$J,Operatsiyalar!$C:$C,A47,Operatsiyalar!$E:$E,"kirim"))</f>
        <v/>
      </c>
      <c r="H43" s="8">
        <f>IF(A47="","",SUMIFS(Operatsiyalar!$I:$I,Operatsiyalar!$C:$C,A47,Operatsiyalar!$E:$E,"chiqim"))</f>
        <v/>
      </c>
      <c r="I43" s="8">
        <f>IF(A47="","",SUMIFS(Operatsiyalar!$J:$J,Operatsiyalar!$C:$C,A47,Operatsiyalar!$E:$E,"chiqim"))</f>
        <v/>
      </c>
      <c r="J43" s="8">
        <f>IF(A47="","",D47+H47-F47)</f>
        <v/>
      </c>
      <c r="K43" s="8">
        <f>IF(A47="","",E47+I47-G47)</f>
        <v/>
      </c>
    </row>
    <row r="44">
      <c r="A44" s="5" t="n"/>
      <c r="B44" s="5" t="n"/>
      <c r="C44" s="6" t="n"/>
      <c r="D44" s="8" t="n"/>
      <c r="E44" s="8" t="n"/>
      <c r="F44" s="8">
        <f>IF(A48="","",SUMIFS(Operatsiyalar!$I:$I,Operatsiyalar!$C:$C,A48,Operatsiyalar!$E:$E,"kirim"))</f>
        <v/>
      </c>
      <c r="G44" s="8">
        <f>IF(A48="","",SUMIFS(Operatsiyalar!$J:$J,Operatsiyalar!$C:$C,A48,Operatsiyalar!$E:$E,"kirim"))</f>
        <v/>
      </c>
      <c r="H44" s="8">
        <f>IF(A48="","",SUMIFS(Operatsiyalar!$I:$I,Operatsiyalar!$C:$C,A48,Operatsiyalar!$E:$E,"chiqim"))</f>
        <v/>
      </c>
      <c r="I44" s="8">
        <f>IF(A48="","",SUMIFS(Operatsiyalar!$J:$J,Operatsiyalar!$C:$C,A48,Operatsiyalar!$E:$E,"chiqim"))</f>
        <v/>
      </c>
      <c r="J44" s="8">
        <f>IF(A48="","",D48+H48-F48)</f>
        <v/>
      </c>
      <c r="K44" s="8">
        <f>IF(A48="","",E48+I48-G48)</f>
        <v/>
      </c>
    </row>
    <row r="45">
      <c r="A45" s="5" t="n"/>
      <c r="B45" s="5" t="n"/>
      <c r="C45" s="6" t="n"/>
      <c r="D45" s="8" t="n"/>
      <c r="E45" s="8" t="n"/>
      <c r="F45" s="8">
        <f>IF(A49="","",SUMIFS(Operatsiyalar!$I:$I,Operatsiyalar!$C:$C,A49,Operatsiyalar!$E:$E,"kirim"))</f>
        <v/>
      </c>
      <c r="G45" s="8">
        <f>IF(A49="","",SUMIFS(Operatsiyalar!$J:$J,Operatsiyalar!$C:$C,A49,Operatsiyalar!$E:$E,"kirim"))</f>
        <v/>
      </c>
      <c r="H45" s="8">
        <f>IF(A49="","",SUMIFS(Operatsiyalar!$I:$I,Operatsiyalar!$C:$C,A49,Operatsiyalar!$E:$E,"chiqim"))</f>
        <v/>
      </c>
      <c r="I45" s="8">
        <f>IF(A49="","",SUMIFS(Operatsiyalar!$J:$J,Operatsiyalar!$C:$C,A49,Operatsiyalar!$E:$E,"chiqim"))</f>
        <v/>
      </c>
      <c r="J45" s="8">
        <f>IF(A49="","",D49+H49-F49)</f>
        <v/>
      </c>
      <c r="K45" s="8">
        <f>IF(A49="","",E49+I49-G49)</f>
        <v/>
      </c>
    </row>
    <row r="46">
      <c r="A46" s="5" t="n"/>
      <c r="B46" s="5" t="n"/>
      <c r="C46" s="6" t="n"/>
      <c r="D46" s="8" t="n"/>
      <c r="E46" s="8" t="n"/>
      <c r="F46" s="8">
        <f>IF(A50="","",SUMIFS(Operatsiyalar!$I:$I,Operatsiyalar!$C:$C,A50,Operatsiyalar!$E:$E,"kirim"))</f>
        <v/>
      </c>
      <c r="G46" s="8">
        <f>IF(A50="","",SUMIFS(Operatsiyalar!$J:$J,Operatsiyalar!$C:$C,A50,Operatsiyalar!$E:$E,"kirim"))</f>
        <v/>
      </c>
      <c r="H46" s="8">
        <f>IF(A50="","",SUMIFS(Operatsiyalar!$I:$I,Operatsiyalar!$C:$C,A50,Operatsiyalar!$E:$E,"chiqim"))</f>
        <v/>
      </c>
      <c r="I46" s="8">
        <f>IF(A50="","",SUMIFS(Operatsiyalar!$J:$J,Operatsiyalar!$C:$C,A50,Operatsiyalar!$E:$E,"chiqim"))</f>
        <v/>
      </c>
      <c r="J46" s="8">
        <f>IF(A50="","",D50+H50-F50)</f>
        <v/>
      </c>
      <c r="K46" s="8">
        <f>IF(A50="","",E50+I50-G50)</f>
        <v/>
      </c>
    </row>
    <row r="47">
      <c r="A47" s="5" t="n"/>
      <c r="B47" s="5" t="n"/>
      <c r="C47" s="6" t="n"/>
      <c r="D47" s="8" t="n"/>
      <c r="E47" s="8" t="n"/>
      <c r="F47" s="8">
        <f>IF(A51="","",SUMIFS(Operatsiyalar!$I:$I,Operatsiyalar!$C:$C,A51,Operatsiyalar!$E:$E,"kirim"))</f>
        <v/>
      </c>
      <c r="G47" s="8">
        <f>IF(A51="","",SUMIFS(Operatsiyalar!$J:$J,Operatsiyalar!$C:$C,A51,Operatsiyalar!$E:$E,"kirim"))</f>
        <v/>
      </c>
      <c r="H47" s="8">
        <f>IF(A51="","",SUMIFS(Operatsiyalar!$I:$I,Operatsiyalar!$C:$C,A51,Operatsiyalar!$E:$E,"chiqim"))</f>
        <v/>
      </c>
      <c r="I47" s="8">
        <f>IF(A51="","",SUMIFS(Operatsiyalar!$J:$J,Operatsiyalar!$C:$C,A51,Operatsiyalar!$E:$E,"chiqim"))</f>
        <v/>
      </c>
      <c r="J47" s="8">
        <f>IF(A51="","",D51+H51-F51)</f>
        <v/>
      </c>
      <c r="K47" s="8">
        <f>IF(A51="","",E51+I51-G51)</f>
        <v/>
      </c>
    </row>
    <row r="48">
      <c r="A48" s="5" t="n"/>
      <c r="B48" s="5" t="n"/>
      <c r="C48" s="6" t="n"/>
      <c r="D48" s="8" t="n"/>
      <c r="E48" s="8" t="n"/>
      <c r="F48" s="8">
        <f>IF(A52="","",SUMIFS(Operatsiyalar!$I:$I,Operatsiyalar!$C:$C,A52,Operatsiyalar!$E:$E,"kirim"))</f>
        <v/>
      </c>
      <c r="G48" s="8">
        <f>IF(A52="","",SUMIFS(Operatsiyalar!$J:$J,Operatsiyalar!$C:$C,A52,Operatsiyalar!$E:$E,"kirim"))</f>
        <v/>
      </c>
      <c r="H48" s="8">
        <f>IF(A52="","",SUMIFS(Operatsiyalar!$I:$I,Operatsiyalar!$C:$C,A52,Operatsiyalar!$E:$E,"chiqim"))</f>
        <v/>
      </c>
      <c r="I48" s="8">
        <f>IF(A52="","",SUMIFS(Operatsiyalar!$J:$J,Operatsiyalar!$C:$C,A52,Operatsiyalar!$E:$E,"chiqim"))</f>
        <v/>
      </c>
      <c r="J48" s="8">
        <f>IF(A52="","",D52+H52-F52)</f>
        <v/>
      </c>
      <c r="K48" s="8">
        <f>IF(A52="","",E52+I52-G52)</f>
        <v/>
      </c>
    </row>
    <row r="49">
      <c r="A49" s="5" t="n"/>
      <c r="B49" s="5" t="n"/>
      <c r="C49" s="6" t="n"/>
      <c r="D49" s="8" t="n"/>
      <c r="E49" s="8" t="n"/>
      <c r="F49" s="8">
        <f>IF(A53="","",SUMIFS(Operatsiyalar!$I:$I,Operatsiyalar!$C:$C,A53,Operatsiyalar!$E:$E,"kirim"))</f>
        <v/>
      </c>
      <c r="G49" s="8">
        <f>IF(A53="","",SUMIFS(Operatsiyalar!$J:$J,Operatsiyalar!$C:$C,A53,Operatsiyalar!$E:$E,"kirim"))</f>
        <v/>
      </c>
      <c r="H49" s="8">
        <f>IF(A53="","",SUMIFS(Operatsiyalar!$I:$I,Operatsiyalar!$C:$C,A53,Operatsiyalar!$E:$E,"chiqim"))</f>
        <v/>
      </c>
      <c r="I49" s="8">
        <f>IF(A53="","",SUMIFS(Operatsiyalar!$J:$J,Operatsiyalar!$C:$C,A53,Operatsiyalar!$E:$E,"chiqim"))</f>
        <v/>
      </c>
      <c r="J49" s="8">
        <f>IF(A53="","",D53+H53-F53)</f>
        <v/>
      </c>
      <c r="K49" s="8">
        <f>IF(A53="","",E53+I53-G53)</f>
        <v/>
      </c>
    </row>
    <row r="50">
      <c r="A50" s="5" t="n"/>
      <c r="B50" s="5" t="n"/>
      <c r="C50" s="6" t="n"/>
      <c r="D50" s="8" t="n"/>
      <c r="E50" s="8" t="n"/>
      <c r="F50" s="8">
        <f>IF(A54="","",SUMIFS(Operatsiyalar!$I:$I,Operatsiyalar!$C:$C,A54,Operatsiyalar!$E:$E,"kirim"))</f>
        <v/>
      </c>
      <c r="G50" s="8">
        <f>IF(A54="","",SUMIFS(Operatsiyalar!$J:$J,Operatsiyalar!$C:$C,A54,Operatsiyalar!$E:$E,"kirim"))</f>
        <v/>
      </c>
      <c r="H50" s="8">
        <f>IF(A54="","",SUMIFS(Operatsiyalar!$I:$I,Operatsiyalar!$C:$C,A54,Operatsiyalar!$E:$E,"chiqim"))</f>
        <v/>
      </c>
      <c r="I50" s="8">
        <f>IF(A54="","",SUMIFS(Operatsiyalar!$J:$J,Operatsiyalar!$C:$C,A54,Operatsiyalar!$E:$E,"chiqim"))</f>
        <v/>
      </c>
      <c r="J50" s="8">
        <f>IF(A54="","",D54+H54-F54)</f>
        <v/>
      </c>
      <c r="K50" s="8">
        <f>IF(A54="","",E54+I54-G54)</f>
        <v/>
      </c>
    </row>
    <row r="51">
      <c r="A51" s="5" t="n"/>
      <c r="B51" s="5" t="n"/>
      <c r="C51" s="6" t="n"/>
      <c r="D51" s="8" t="n"/>
      <c r="E51" s="8" t="n"/>
      <c r="F51" s="8">
        <f>IF(A55="","",SUMIFS(Operatsiyalar!$I:$I,Operatsiyalar!$C:$C,A55,Operatsiyalar!$E:$E,"kirim"))</f>
        <v/>
      </c>
      <c r="G51" s="8">
        <f>IF(A55="","",SUMIFS(Operatsiyalar!$J:$J,Operatsiyalar!$C:$C,A55,Operatsiyalar!$E:$E,"kirim"))</f>
        <v/>
      </c>
      <c r="H51" s="8">
        <f>IF(A55="","",SUMIFS(Operatsiyalar!$I:$I,Operatsiyalar!$C:$C,A55,Operatsiyalar!$E:$E,"chiqim"))</f>
        <v/>
      </c>
      <c r="I51" s="8">
        <f>IF(A55="","",SUMIFS(Operatsiyalar!$J:$J,Operatsiyalar!$C:$C,A55,Operatsiyalar!$E:$E,"chiqim"))</f>
        <v/>
      </c>
      <c r="J51" s="8">
        <f>IF(A55="","",D55+H55-F55)</f>
        <v/>
      </c>
      <c r="K51" s="8">
        <f>IF(A55="","",E55+I55-G55)</f>
        <v/>
      </c>
    </row>
    <row r="52">
      <c r="A52" s="5" t="n"/>
      <c r="B52" s="5" t="n"/>
      <c r="C52" s="6" t="n"/>
      <c r="D52" s="8" t="n"/>
      <c r="E52" s="8" t="n"/>
      <c r="F52" s="8">
        <f>IF(A56="","",SUMIFS(Operatsiyalar!$I:$I,Operatsiyalar!$C:$C,A56,Operatsiyalar!$E:$E,"kirim"))</f>
        <v/>
      </c>
      <c r="G52" s="8">
        <f>IF(A56="","",SUMIFS(Operatsiyalar!$J:$J,Operatsiyalar!$C:$C,A56,Operatsiyalar!$E:$E,"kirim"))</f>
        <v/>
      </c>
      <c r="H52" s="8">
        <f>IF(A56="","",SUMIFS(Operatsiyalar!$I:$I,Operatsiyalar!$C:$C,A56,Operatsiyalar!$E:$E,"chiqim"))</f>
        <v/>
      </c>
      <c r="I52" s="8">
        <f>IF(A56="","",SUMIFS(Operatsiyalar!$J:$J,Operatsiyalar!$C:$C,A56,Operatsiyalar!$E:$E,"chiqim"))</f>
        <v/>
      </c>
      <c r="J52" s="8">
        <f>IF(A56="","",D56+H56-F56)</f>
        <v/>
      </c>
      <c r="K52" s="8">
        <f>IF(A56="","",E56+I56-G56)</f>
        <v/>
      </c>
    </row>
    <row r="53">
      <c r="A53" s="5" t="n"/>
      <c r="B53" s="5" t="n"/>
      <c r="C53" s="6" t="n"/>
      <c r="D53" s="8" t="n"/>
      <c r="E53" s="8" t="n"/>
      <c r="F53" s="8">
        <f>IF(A57="","",SUMIFS(Operatsiyalar!$I:$I,Operatsiyalar!$C:$C,A57,Operatsiyalar!$E:$E,"kirim"))</f>
        <v/>
      </c>
      <c r="G53" s="8">
        <f>IF(A57="","",SUMIFS(Operatsiyalar!$J:$J,Operatsiyalar!$C:$C,A57,Operatsiyalar!$E:$E,"kirim"))</f>
        <v/>
      </c>
      <c r="H53" s="8">
        <f>IF(A57="","",SUMIFS(Operatsiyalar!$I:$I,Operatsiyalar!$C:$C,A57,Operatsiyalar!$E:$E,"chiqim"))</f>
        <v/>
      </c>
      <c r="I53" s="8">
        <f>IF(A57="","",SUMIFS(Operatsiyalar!$J:$J,Operatsiyalar!$C:$C,A57,Operatsiyalar!$E:$E,"chiqim"))</f>
        <v/>
      </c>
      <c r="J53" s="8">
        <f>IF(A57="","",D57+H57-F57)</f>
        <v/>
      </c>
      <c r="K53" s="8">
        <f>IF(A57="","",E57+I57-G57)</f>
        <v/>
      </c>
    </row>
    <row r="54">
      <c r="A54" s="5" t="n"/>
      <c r="B54" s="5" t="n"/>
      <c r="C54" s="6" t="n"/>
      <c r="D54" s="8" t="n"/>
      <c r="E54" s="8" t="n"/>
      <c r="F54" s="8">
        <f>IF(A58="","",SUMIFS(Operatsiyalar!$I:$I,Operatsiyalar!$C:$C,A58,Operatsiyalar!$E:$E,"kirim"))</f>
        <v/>
      </c>
      <c r="G54" s="8">
        <f>IF(A58="","",SUMIFS(Operatsiyalar!$J:$J,Operatsiyalar!$C:$C,A58,Operatsiyalar!$E:$E,"kirim"))</f>
        <v/>
      </c>
      <c r="H54" s="8">
        <f>IF(A58="","",SUMIFS(Operatsiyalar!$I:$I,Operatsiyalar!$C:$C,A58,Operatsiyalar!$E:$E,"chiqim"))</f>
        <v/>
      </c>
      <c r="I54" s="8">
        <f>IF(A58="","",SUMIFS(Operatsiyalar!$J:$J,Operatsiyalar!$C:$C,A58,Operatsiyalar!$E:$E,"chiqim"))</f>
        <v/>
      </c>
      <c r="J54" s="8">
        <f>IF(A58="","",D58+H58-F58)</f>
        <v/>
      </c>
      <c r="K54" s="8">
        <f>IF(A58="","",E58+I58-G58)</f>
        <v/>
      </c>
    </row>
    <row r="55">
      <c r="A55" s="5" t="n"/>
      <c r="B55" s="5" t="n"/>
      <c r="C55" s="6" t="n"/>
      <c r="D55" s="8" t="n"/>
      <c r="E55" s="8" t="n"/>
      <c r="F55" s="8">
        <f>IF(A59="","",SUMIFS(Operatsiyalar!$I:$I,Operatsiyalar!$C:$C,A59,Operatsiyalar!$E:$E,"kirim"))</f>
        <v/>
      </c>
      <c r="G55" s="8">
        <f>IF(A59="","",SUMIFS(Operatsiyalar!$J:$J,Operatsiyalar!$C:$C,A59,Operatsiyalar!$E:$E,"kirim"))</f>
        <v/>
      </c>
      <c r="H55" s="8">
        <f>IF(A59="","",SUMIFS(Operatsiyalar!$I:$I,Operatsiyalar!$C:$C,A59,Operatsiyalar!$E:$E,"chiqim"))</f>
        <v/>
      </c>
      <c r="I55" s="8">
        <f>IF(A59="","",SUMIFS(Operatsiyalar!$J:$J,Operatsiyalar!$C:$C,A59,Operatsiyalar!$E:$E,"chiqim"))</f>
        <v/>
      </c>
      <c r="J55" s="8">
        <f>IF(A59="","",D59+H59-F59)</f>
        <v/>
      </c>
      <c r="K55" s="8">
        <f>IF(A59="","",E59+I59-G59)</f>
        <v/>
      </c>
    </row>
    <row r="56">
      <c r="A56" s="5" t="n"/>
      <c r="B56" s="5" t="n"/>
      <c r="C56" s="6" t="n"/>
      <c r="D56" s="8" t="n"/>
      <c r="E56" s="8" t="n"/>
      <c r="F56" s="8">
        <f>IF(A60="","",SUMIFS(Operatsiyalar!$I:$I,Operatsiyalar!$C:$C,A60,Operatsiyalar!$E:$E,"kirim"))</f>
        <v/>
      </c>
      <c r="G56" s="8">
        <f>IF(A60="","",SUMIFS(Operatsiyalar!$J:$J,Operatsiyalar!$C:$C,A60,Operatsiyalar!$E:$E,"kirim"))</f>
        <v/>
      </c>
      <c r="H56" s="8">
        <f>IF(A60="","",SUMIFS(Operatsiyalar!$I:$I,Operatsiyalar!$C:$C,A60,Operatsiyalar!$E:$E,"chiqim"))</f>
        <v/>
      </c>
      <c r="I56" s="8">
        <f>IF(A60="","",SUMIFS(Operatsiyalar!$J:$J,Operatsiyalar!$C:$C,A60,Operatsiyalar!$E:$E,"chiqim"))</f>
        <v/>
      </c>
      <c r="J56" s="8">
        <f>IF(A60="","",D60+H60-F60)</f>
        <v/>
      </c>
      <c r="K56" s="8">
        <f>IF(A60="","",E60+I60-G60)</f>
        <v/>
      </c>
    </row>
    <row r="57">
      <c r="A57" s="5" t="n"/>
      <c r="B57" s="5" t="n"/>
      <c r="C57" s="6" t="n"/>
      <c r="D57" s="8" t="n"/>
      <c r="E57" s="8" t="n"/>
      <c r="F57" s="8">
        <f>IF(A61="","",SUMIFS(Operatsiyalar!$I:$I,Operatsiyalar!$C:$C,A61,Operatsiyalar!$E:$E,"kirim"))</f>
        <v/>
      </c>
      <c r="G57" s="8">
        <f>IF(A61="","",SUMIFS(Operatsiyalar!$J:$J,Operatsiyalar!$C:$C,A61,Operatsiyalar!$E:$E,"kirim"))</f>
        <v/>
      </c>
      <c r="H57" s="8">
        <f>IF(A61="","",SUMIFS(Operatsiyalar!$I:$I,Operatsiyalar!$C:$C,A61,Operatsiyalar!$E:$E,"chiqim"))</f>
        <v/>
      </c>
      <c r="I57" s="8">
        <f>IF(A61="","",SUMIFS(Operatsiyalar!$J:$J,Operatsiyalar!$C:$C,A61,Operatsiyalar!$E:$E,"chiqim"))</f>
        <v/>
      </c>
      <c r="J57" s="8">
        <f>IF(A61="","",D61+H61-F61)</f>
        <v/>
      </c>
      <c r="K57" s="8">
        <f>IF(A61="","",E61+I61-G61)</f>
        <v/>
      </c>
    </row>
    <row r="58">
      <c r="A58" s="5" t="n"/>
      <c r="B58" s="5" t="n"/>
      <c r="C58" s="6" t="n"/>
      <c r="D58" s="8" t="n"/>
      <c r="E58" s="8" t="n"/>
      <c r="F58" s="8">
        <f>IF(A62="","",SUMIFS(Operatsiyalar!$I:$I,Operatsiyalar!$C:$C,A62,Operatsiyalar!$E:$E,"kirim"))</f>
        <v/>
      </c>
      <c r="G58" s="8">
        <f>IF(A62="","",SUMIFS(Operatsiyalar!$J:$J,Operatsiyalar!$C:$C,A62,Operatsiyalar!$E:$E,"kirim"))</f>
        <v/>
      </c>
      <c r="H58" s="8">
        <f>IF(A62="","",SUMIFS(Operatsiyalar!$I:$I,Operatsiyalar!$C:$C,A62,Operatsiyalar!$E:$E,"chiqim"))</f>
        <v/>
      </c>
      <c r="I58" s="8">
        <f>IF(A62="","",SUMIFS(Operatsiyalar!$J:$J,Operatsiyalar!$C:$C,A62,Operatsiyalar!$E:$E,"chiqim"))</f>
        <v/>
      </c>
      <c r="J58" s="8">
        <f>IF(A62="","",D62+H62-F62)</f>
        <v/>
      </c>
      <c r="K58" s="8">
        <f>IF(A62="","",E62+I62-G62)</f>
        <v/>
      </c>
    </row>
    <row r="59">
      <c r="A59" s="5" t="n"/>
      <c r="B59" s="5" t="n"/>
      <c r="C59" s="6" t="n"/>
      <c r="D59" s="8" t="n"/>
      <c r="E59" s="8" t="n"/>
      <c r="F59" s="8">
        <f>IF(A63="","",SUMIFS(Operatsiyalar!$I:$I,Operatsiyalar!$C:$C,A63,Operatsiyalar!$E:$E,"kirim"))</f>
        <v/>
      </c>
      <c r="G59" s="8">
        <f>IF(A63="","",SUMIFS(Operatsiyalar!$J:$J,Operatsiyalar!$C:$C,A63,Operatsiyalar!$E:$E,"kirim"))</f>
        <v/>
      </c>
      <c r="H59" s="8">
        <f>IF(A63="","",SUMIFS(Operatsiyalar!$I:$I,Operatsiyalar!$C:$C,A63,Operatsiyalar!$E:$E,"chiqim"))</f>
        <v/>
      </c>
      <c r="I59" s="8">
        <f>IF(A63="","",SUMIFS(Operatsiyalar!$J:$J,Operatsiyalar!$C:$C,A63,Operatsiyalar!$E:$E,"chiqim"))</f>
        <v/>
      </c>
      <c r="J59" s="8">
        <f>IF(A63="","",D63+H63-F63)</f>
        <v/>
      </c>
      <c r="K59" s="8">
        <f>IF(A63="","",E63+I63-G63)</f>
        <v/>
      </c>
    </row>
    <row r="60">
      <c r="A60" s="5" t="n"/>
      <c r="B60" s="5" t="n"/>
      <c r="C60" s="6" t="n"/>
      <c r="D60" s="8" t="n"/>
      <c r="E60" s="8" t="n"/>
      <c r="F60" s="8">
        <f>IF(A64="","",SUMIFS(Operatsiyalar!$I:$I,Operatsiyalar!$C:$C,A64,Operatsiyalar!$E:$E,"kirim"))</f>
        <v/>
      </c>
      <c r="G60" s="8">
        <f>IF(A64="","",SUMIFS(Operatsiyalar!$J:$J,Operatsiyalar!$C:$C,A64,Operatsiyalar!$E:$E,"kirim"))</f>
        <v/>
      </c>
      <c r="H60" s="8">
        <f>IF(A64="","",SUMIFS(Operatsiyalar!$I:$I,Operatsiyalar!$C:$C,A64,Operatsiyalar!$E:$E,"chiqim"))</f>
        <v/>
      </c>
      <c r="I60" s="8">
        <f>IF(A64="","",SUMIFS(Operatsiyalar!$J:$J,Operatsiyalar!$C:$C,A64,Operatsiyalar!$E:$E,"chiqim"))</f>
        <v/>
      </c>
      <c r="J60" s="8">
        <f>IF(A64="","",D64+H64-F64)</f>
        <v/>
      </c>
      <c r="K60" s="8">
        <f>IF(A64="","",E64+I64-G64)</f>
        <v/>
      </c>
    </row>
    <row r="61">
      <c r="A61" s="5" t="n"/>
      <c r="B61" s="5" t="n"/>
      <c r="C61" s="6" t="n"/>
      <c r="D61" s="8" t="n"/>
      <c r="E61" s="8" t="n"/>
      <c r="F61" s="8">
        <f>IF(A65="","",SUMIFS(Operatsiyalar!$I:$I,Operatsiyalar!$C:$C,A65,Operatsiyalar!$E:$E,"kirim"))</f>
        <v/>
      </c>
      <c r="G61" s="8">
        <f>IF(A65="","",SUMIFS(Operatsiyalar!$J:$J,Operatsiyalar!$C:$C,A65,Operatsiyalar!$E:$E,"kirim"))</f>
        <v/>
      </c>
      <c r="H61" s="8">
        <f>IF(A65="","",SUMIFS(Operatsiyalar!$I:$I,Operatsiyalar!$C:$C,A65,Operatsiyalar!$E:$E,"chiqim"))</f>
        <v/>
      </c>
      <c r="I61" s="8">
        <f>IF(A65="","",SUMIFS(Operatsiyalar!$J:$J,Operatsiyalar!$C:$C,A65,Operatsiyalar!$E:$E,"chiqim"))</f>
        <v/>
      </c>
      <c r="J61" s="8">
        <f>IF(A65="","",D65+H65-F65)</f>
        <v/>
      </c>
      <c r="K61" s="8">
        <f>IF(A65="","",E65+I65-G65)</f>
        <v/>
      </c>
    </row>
    <row r="62">
      <c r="A62" s="5" t="n"/>
      <c r="B62" s="5" t="n"/>
      <c r="C62" s="6" t="n"/>
      <c r="D62" s="8" t="n"/>
      <c r="E62" s="8" t="n"/>
      <c r="F62" s="8">
        <f>IF(A66="","",SUMIFS(Operatsiyalar!$I:$I,Operatsiyalar!$C:$C,A66,Operatsiyalar!$E:$E,"kirim"))</f>
        <v/>
      </c>
      <c r="G62" s="8">
        <f>IF(A66="","",SUMIFS(Operatsiyalar!$J:$J,Operatsiyalar!$C:$C,A66,Operatsiyalar!$E:$E,"kirim"))</f>
        <v/>
      </c>
      <c r="H62" s="8">
        <f>IF(A66="","",SUMIFS(Operatsiyalar!$I:$I,Operatsiyalar!$C:$C,A66,Operatsiyalar!$E:$E,"chiqim"))</f>
        <v/>
      </c>
      <c r="I62" s="8">
        <f>IF(A66="","",SUMIFS(Operatsiyalar!$J:$J,Operatsiyalar!$C:$C,A66,Operatsiyalar!$E:$E,"chiqim"))</f>
        <v/>
      </c>
      <c r="J62" s="8">
        <f>IF(A66="","",D66+H66-F66)</f>
        <v/>
      </c>
      <c r="K62" s="8">
        <f>IF(A66="","",E66+I66-G66)</f>
        <v/>
      </c>
    </row>
    <row r="63">
      <c r="A63" s="5" t="n"/>
      <c r="B63" s="5" t="n"/>
      <c r="C63" s="6" t="n"/>
      <c r="D63" s="8" t="n"/>
      <c r="E63" s="8" t="n"/>
      <c r="F63" s="8">
        <f>IF(A67="","",SUMIFS(Operatsiyalar!$I:$I,Operatsiyalar!$C:$C,A67,Operatsiyalar!$E:$E,"kirim"))</f>
        <v/>
      </c>
      <c r="G63" s="8">
        <f>IF(A67="","",SUMIFS(Operatsiyalar!$J:$J,Operatsiyalar!$C:$C,A67,Operatsiyalar!$E:$E,"kirim"))</f>
        <v/>
      </c>
      <c r="H63" s="8">
        <f>IF(A67="","",SUMIFS(Operatsiyalar!$I:$I,Operatsiyalar!$C:$C,A67,Operatsiyalar!$E:$E,"chiqim"))</f>
        <v/>
      </c>
      <c r="I63" s="8">
        <f>IF(A67="","",SUMIFS(Operatsiyalar!$J:$J,Operatsiyalar!$C:$C,A67,Operatsiyalar!$E:$E,"chiqim"))</f>
        <v/>
      </c>
      <c r="J63" s="8">
        <f>IF(A67="","",D67+H67-F67)</f>
        <v/>
      </c>
      <c r="K63" s="8">
        <f>IF(A67="","",E67+I67-G67)</f>
        <v/>
      </c>
    </row>
    <row r="64">
      <c r="A64" s="5" t="n"/>
      <c r="B64" s="5" t="n"/>
      <c r="C64" s="6" t="n"/>
      <c r="D64" s="8" t="n"/>
      <c r="E64" s="8" t="n"/>
      <c r="F64" s="8">
        <f>IF(A68="","",SUMIFS(Operatsiyalar!$I:$I,Operatsiyalar!$C:$C,A68,Operatsiyalar!$E:$E,"kirim"))</f>
        <v/>
      </c>
      <c r="G64" s="8">
        <f>IF(A68="","",SUMIFS(Operatsiyalar!$J:$J,Operatsiyalar!$C:$C,A68,Operatsiyalar!$E:$E,"kirim"))</f>
        <v/>
      </c>
      <c r="H64" s="8">
        <f>IF(A68="","",SUMIFS(Operatsiyalar!$I:$I,Operatsiyalar!$C:$C,A68,Operatsiyalar!$E:$E,"chiqim"))</f>
        <v/>
      </c>
      <c r="I64" s="8">
        <f>IF(A68="","",SUMIFS(Operatsiyalar!$J:$J,Operatsiyalar!$C:$C,A68,Operatsiyalar!$E:$E,"chiqim"))</f>
        <v/>
      </c>
      <c r="J64" s="8">
        <f>IF(A68="","",D68+H68-F68)</f>
        <v/>
      </c>
      <c r="K64" s="8">
        <f>IF(A68="","",E68+I68-G68)</f>
        <v/>
      </c>
    </row>
    <row r="65">
      <c r="A65" s="5" t="n"/>
      <c r="B65" s="5" t="n"/>
      <c r="C65" s="6" t="n"/>
      <c r="D65" s="8" t="n"/>
      <c r="E65" s="8" t="n"/>
      <c r="F65" s="8">
        <f>IF(A69="","",SUMIFS(Operatsiyalar!$I:$I,Operatsiyalar!$C:$C,A69,Operatsiyalar!$E:$E,"kirim"))</f>
        <v/>
      </c>
      <c r="G65" s="8">
        <f>IF(A69="","",SUMIFS(Operatsiyalar!$J:$J,Operatsiyalar!$C:$C,A69,Operatsiyalar!$E:$E,"kirim"))</f>
        <v/>
      </c>
      <c r="H65" s="8">
        <f>IF(A69="","",SUMIFS(Operatsiyalar!$I:$I,Operatsiyalar!$C:$C,A69,Operatsiyalar!$E:$E,"chiqim"))</f>
        <v/>
      </c>
      <c r="I65" s="8">
        <f>IF(A69="","",SUMIFS(Operatsiyalar!$J:$J,Operatsiyalar!$C:$C,A69,Operatsiyalar!$E:$E,"chiqim"))</f>
        <v/>
      </c>
      <c r="J65" s="8">
        <f>IF(A69="","",D69+H69-F69)</f>
        <v/>
      </c>
      <c r="K65" s="8">
        <f>IF(A69="","",E69+I69-G69)</f>
        <v/>
      </c>
    </row>
    <row r="66">
      <c r="A66" s="5" t="n"/>
      <c r="B66" s="5" t="n"/>
      <c r="C66" s="6" t="n"/>
      <c r="D66" s="8" t="n"/>
      <c r="E66" s="8" t="n"/>
      <c r="F66" s="8">
        <f>IF(A70="","",SUMIFS(Operatsiyalar!$I:$I,Operatsiyalar!$C:$C,A70,Operatsiyalar!$E:$E,"kirim"))</f>
        <v/>
      </c>
      <c r="G66" s="8">
        <f>IF(A70="","",SUMIFS(Operatsiyalar!$J:$J,Operatsiyalar!$C:$C,A70,Operatsiyalar!$E:$E,"kirim"))</f>
        <v/>
      </c>
      <c r="H66" s="8">
        <f>IF(A70="","",SUMIFS(Operatsiyalar!$I:$I,Operatsiyalar!$C:$C,A70,Operatsiyalar!$E:$E,"chiqim"))</f>
        <v/>
      </c>
      <c r="I66" s="8">
        <f>IF(A70="","",SUMIFS(Operatsiyalar!$J:$J,Operatsiyalar!$C:$C,A70,Operatsiyalar!$E:$E,"chiqim"))</f>
        <v/>
      </c>
      <c r="J66" s="8">
        <f>IF(A70="","",D70+H70-F70)</f>
        <v/>
      </c>
      <c r="K66" s="8">
        <f>IF(A70="","",E70+I70-G70)</f>
        <v/>
      </c>
    </row>
    <row r="67">
      <c r="A67" s="5" t="n"/>
      <c r="B67" s="5" t="n"/>
      <c r="C67" s="6" t="n"/>
      <c r="D67" s="8" t="n"/>
      <c r="E67" s="8" t="n"/>
      <c r="F67" s="8">
        <f>IF(A71="","",SUMIFS(Operatsiyalar!$I:$I,Operatsiyalar!$C:$C,A71,Operatsiyalar!$E:$E,"kirim"))</f>
        <v/>
      </c>
      <c r="G67" s="8">
        <f>IF(A71="","",SUMIFS(Operatsiyalar!$J:$J,Operatsiyalar!$C:$C,A71,Operatsiyalar!$E:$E,"kirim"))</f>
        <v/>
      </c>
      <c r="H67" s="8">
        <f>IF(A71="","",SUMIFS(Operatsiyalar!$I:$I,Operatsiyalar!$C:$C,A71,Operatsiyalar!$E:$E,"chiqim"))</f>
        <v/>
      </c>
      <c r="I67" s="8">
        <f>IF(A71="","",SUMIFS(Operatsiyalar!$J:$J,Operatsiyalar!$C:$C,A71,Operatsiyalar!$E:$E,"chiqim"))</f>
        <v/>
      </c>
      <c r="J67" s="8">
        <f>IF(A71="","",D71+H71-F71)</f>
        <v/>
      </c>
      <c r="K67" s="8">
        <f>IF(A71="","",E71+I71-G71)</f>
        <v/>
      </c>
    </row>
    <row r="68">
      <c r="A68" s="5" t="n"/>
      <c r="B68" s="5" t="n"/>
      <c r="C68" s="6" t="n"/>
      <c r="D68" s="8" t="n"/>
      <c r="E68" s="8" t="n"/>
      <c r="F68" s="8">
        <f>IF(A72="","",SUMIFS(Operatsiyalar!$I:$I,Operatsiyalar!$C:$C,A72,Operatsiyalar!$E:$E,"kirim"))</f>
        <v/>
      </c>
      <c r="G68" s="8">
        <f>IF(A72="","",SUMIFS(Operatsiyalar!$J:$J,Operatsiyalar!$C:$C,A72,Operatsiyalar!$E:$E,"kirim"))</f>
        <v/>
      </c>
      <c r="H68" s="8">
        <f>IF(A72="","",SUMIFS(Operatsiyalar!$I:$I,Operatsiyalar!$C:$C,A72,Operatsiyalar!$E:$E,"chiqim"))</f>
        <v/>
      </c>
      <c r="I68" s="8">
        <f>IF(A72="","",SUMIFS(Operatsiyalar!$J:$J,Operatsiyalar!$C:$C,A72,Operatsiyalar!$E:$E,"chiqim"))</f>
        <v/>
      </c>
      <c r="J68" s="8">
        <f>IF(A72="","",D72+H72-F72)</f>
        <v/>
      </c>
      <c r="K68" s="8">
        <f>IF(A72="","",E72+I72-G72)</f>
        <v/>
      </c>
    </row>
    <row r="69">
      <c r="A69" s="5" t="n"/>
      <c r="B69" s="5" t="n"/>
      <c r="C69" s="6" t="n"/>
      <c r="D69" s="8" t="n"/>
      <c r="E69" s="8" t="n"/>
      <c r="F69" s="8">
        <f>IF(A73="","",SUMIFS(Operatsiyalar!$I:$I,Operatsiyalar!$C:$C,A73,Operatsiyalar!$E:$E,"kirim"))</f>
        <v/>
      </c>
      <c r="G69" s="8">
        <f>IF(A73="","",SUMIFS(Operatsiyalar!$J:$J,Operatsiyalar!$C:$C,A73,Operatsiyalar!$E:$E,"kirim"))</f>
        <v/>
      </c>
      <c r="H69" s="8">
        <f>IF(A73="","",SUMIFS(Operatsiyalar!$I:$I,Operatsiyalar!$C:$C,A73,Operatsiyalar!$E:$E,"chiqim"))</f>
        <v/>
      </c>
      <c r="I69" s="8">
        <f>IF(A73="","",SUMIFS(Operatsiyalar!$J:$J,Operatsiyalar!$C:$C,A73,Operatsiyalar!$E:$E,"chiqim"))</f>
        <v/>
      </c>
      <c r="J69" s="8">
        <f>IF(A73="","",D73+H73-F73)</f>
        <v/>
      </c>
      <c r="K69" s="8">
        <f>IF(A73="","",E73+I73-G73)</f>
        <v/>
      </c>
    </row>
    <row r="70">
      <c r="A70" s="5" t="n"/>
      <c r="B70" s="5" t="n"/>
      <c r="C70" s="6" t="n"/>
      <c r="D70" s="8" t="n"/>
      <c r="E70" s="8" t="n"/>
      <c r="F70" s="8">
        <f>IF(A74="","",SUMIFS(Operatsiyalar!$I:$I,Operatsiyalar!$C:$C,A74,Operatsiyalar!$E:$E,"kirim"))</f>
        <v/>
      </c>
      <c r="G70" s="8">
        <f>IF(A74="","",SUMIFS(Operatsiyalar!$J:$J,Operatsiyalar!$C:$C,A74,Operatsiyalar!$E:$E,"kirim"))</f>
        <v/>
      </c>
      <c r="H70" s="8">
        <f>IF(A74="","",SUMIFS(Operatsiyalar!$I:$I,Operatsiyalar!$C:$C,A74,Operatsiyalar!$E:$E,"chiqim"))</f>
        <v/>
      </c>
      <c r="I70" s="8">
        <f>IF(A74="","",SUMIFS(Operatsiyalar!$J:$J,Operatsiyalar!$C:$C,A74,Operatsiyalar!$E:$E,"chiqim"))</f>
        <v/>
      </c>
      <c r="J70" s="8">
        <f>IF(A74="","",D74+H74-F74)</f>
        <v/>
      </c>
      <c r="K70" s="8">
        <f>IF(A74="","",E74+I74-G74)</f>
        <v/>
      </c>
    </row>
    <row r="71">
      <c r="A71" s="5" t="n"/>
      <c r="B71" s="5" t="n"/>
      <c r="C71" s="6" t="n"/>
      <c r="D71" s="8" t="n"/>
      <c r="E71" s="8" t="n"/>
      <c r="F71" s="8">
        <f>IF(A75="","",SUMIFS(Operatsiyalar!$I:$I,Operatsiyalar!$C:$C,A75,Operatsiyalar!$E:$E,"kirim"))</f>
        <v/>
      </c>
      <c r="G71" s="8">
        <f>IF(A75="","",SUMIFS(Operatsiyalar!$J:$J,Operatsiyalar!$C:$C,A75,Operatsiyalar!$E:$E,"kirim"))</f>
        <v/>
      </c>
      <c r="H71" s="8">
        <f>IF(A75="","",SUMIFS(Operatsiyalar!$I:$I,Operatsiyalar!$C:$C,A75,Operatsiyalar!$E:$E,"chiqim"))</f>
        <v/>
      </c>
      <c r="I71" s="8">
        <f>IF(A75="","",SUMIFS(Operatsiyalar!$J:$J,Operatsiyalar!$C:$C,A75,Operatsiyalar!$E:$E,"chiqim"))</f>
        <v/>
      </c>
      <c r="J71" s="8">
        <f>IF(A75="","",D75+H75-F75)</f>
        <v/>
      </c>
      <c r="K71" s="8">
        <f>IF(A75="","",E75+I75-G75)</f>
        <v/>
      </c>
    </row>
    <row r="72">
      <c r="A72" s="5" t="n"/>
      <c r="B72" s="5" t="n"/>
      <c r="C72" s="6" t="n"/>
      <c r="D72" s="8" t="n"/>
      <c r="E72" s="8" t="n"/>
      <c r="F72" s="8">
        <f>IF(A76="","",SUMIFS(Operatsiyalar!$I:$I,Operatsiyalar!$C:$C,A76,Operatsiyalar!$E:$E,"kirim"))</f>
        <v/>
      </c>
      <c r="G72" s="8">
        <f>IF(A76="","",SUMIFS(Operatsiyalar!$J:$J,Operatsiyalar!$C:$C,A76,Operatsiyalar!$E:$E,"kirim"))</f>
        <v/>
      </c>
      <c r="H72" s="8">
        <f>IF(A76="","",SUMIFS(Operatsiyalar!$I:$I,Operatsiyalar!$C:$C,A76,Operatsiyalar!$E:$E,"chiqim"))</f>
        <v/>
      </c>
      <c r="I72" s="8">
        <f>IF(A76="","",SUMIFS(Operatsiyalar!$J:$J,Operatsiyalar!$C:$C,A76,Operatsiyalar!$E:$E,"chiqim"))</f>
        <v/>
      </c>
      <c r="J72" s="8">
        <f>IF(A76="","",D76+H76-F76)</f>
        <v/>
      </c>
      <c r="K72" s="8">
        <f>IF(A76="","",E76+I76-G76)</f>
        <v/>
      </c>
    </row>
    <row r="73">
      <c r="A73" s="5" t="n"/>
      <c r="B73" s="5" t="n"/>
      <c r="C73" s="6" t="n"/>
      <c r="D73" s="8" t="n"/>
      <c r="E73" s="8" t="n"/>
      <c r="F73" s="8">
        <f>IF(A77="","",SUMIFS(Operatsiyalar!$I:$I,Operatsiyalar!$C:$C,A77,Operatsiyalar!$E:$E,"kirim"))</f>
        <v/>
      </c>
      <c r="G73" s="8">
        <f>IF(A77="","",SUMIFS(Operatsiyalar!$J:$J,Operatsiyalar!$C:$C,A77,Operatsiyalar!$E:$E,"kirim"))</f>
        <v/>
      </c>
      <c r="H73" s="8">
        <f>IF(A77="","",SUMIFS(Operatsiyalar!$I:$I,Operatsiyalar!$C:$C,A77,Operatsiyalar!$E:$E,"chiqim"))</f>
        <v/>
      </c>
      <c r="I73" s="8">
        <f>IF(A77="","",SUMIFS(Operatsiyalar!$J:$J,Operatsiyalar!$C:$C,A77,Operatsiyalar!$E:$E,"chiqim"))</f>
        <v/>
      </c>
      <c r="J73" s="8">
        <f>IF(A77="","",D77+H77-F77)</f>
        <v/>
      </c>
      <c r="K73" s="8">
        <f>IF(A77="","",E77+I77-G77)</f>
        <v/>
      </c>
    </row>
    <row r="74">
      <c r="A74" s="5" t="n"/>
      <c r="B74" s="5" t="n"/>
      <c r="C74" s="6" t="n"/>
      <c r="D74" s="8" t="n"/>
      <c r="E74" s="8" t="n"/>
      <c r="F74" s="8">
        <f>IF(A78="","",SUMIFS(Operatsiyalar!$I:$I,Operatsiyalar!$C:$C,A78,Operatsiyalar!$E:$E,"kirim"))</f>
        <v/>
      </c>
      <c r="G74" s="8">
        <f>IF(A78="","",SUMIFS(Operatsiyalar!$J:$J,Operatsiyalar!$C:$C,A78,Operatsiyalar!$E:$E,"kirim"))</f>
        <v/>
      </c>
      <c r="H74" s="8">
        <f>IF(A78="","",SUMIFS(Operatsiyalar!$I:$I,Operatsiyalar!$C:$C,A78,Operatsiyalar!$E:$E,"chiqim"))</f>
        <v/>
      </c>
      <c r="I74" s="8">
        <f>IF(A78="","",SUMIFS(Operatsiyalar!$J:$J,Operatsiyalar!$C:$C,A78,Operatsiyalar!$E:$E,"chiqim"))</f>
        <v/>
      </c>
      <c r="J74" s="8">
        <f>IF(A78="","",D78+H78-F78)</f>
        <v/>
      </c>
      <c r="K74" s="8">
        <f>IF(A78="","",E78+I78-G78)</f>
        <v/>
      </c>
    </row>
    <row r="75">
      <c r="A75" s="5" t="n"/>
      <c r="B75" s="5" t="n"/>
      <c r="C75" s="6" t="n"/>
      <c r="D75" s="8" t="n"/>
      <c r="E75" s="8" t="n"/>
      <c r="F75" s="8">
        <f>IF(A79="","",SUMIFS(Operatsiyalar!$I:$I,Operatsiyalar!$C:$C,A79,Operatsiyalar!$E:$E,"kirim"))</f>
        <v/>
      </c>
      <c r="G75" s="8">
        <f>IF(A79="","",SUMIFS(Operatsiyalar!$J:$J,Operatsiyalar!$C:$C,A79,Operatsiyalar!$E:$E,"kirim"))</f>
        <v/>
      </c>
      <c r="H75" s="8">
        <f>IF(A79="","",SUMIFS(Operatsiyalar!$I:$I,Operatsiyalar!$C:$C,A79,Operatsiyalar!$E:$E,"chiqim"))</f>
        <v/>
      </c>
      <c r="I75" s="8">
        <f>IF(A79="","",SUMIFS(Operatsiyalar!$J:$J,Operatsiyalar!$C:$C,A79,Operatsiyalar!$E:$E,"chiqim"))</f>
        <v/>
      </c>
      <c r="J75" s="8">
        <f>IF(A79="","",D79+H79-F79)</f>
        <v/>
      </c>
      <c r="K75" s="8">
        <f>IF(A79="","",E79+I79-G79)</f>
        <v/>
      </c>
    </row>
    <row r="76">
      <c r="A76" s="5" t="n"/>
      <c r="B76" s="5" t="n"/>
      <c r="C76" s="6" t="n"/>
      <c r="D76" s="8" t="n"/>
      <c r="E76" s="8" t="n"/>
      <c r="F76" s="8">
        <f>IF(A80="","",SUMIFS(Operatsiyalar!$I:$I,Operatsiyalar!$C:$C,A80,Operatsiyalar!$E:$E,"kirim"))</f>
        <v/>
      </c>
      <c r="G76" s="8">
        <f>IF(A80="","",SUMIFS(Operatsiyalar!$J:$J,Operatsiyalar!$C:$C,A80,Operatsiyalar!$E:$E,"kirim"))</f>
        <v/>
      </c>
      <c r="H76" s="8">
        <f>IF(A80="","",SUMIFS(Operatsiyalar!$I:$I,Operatsiyalar!$C:$C,A80,Operatsiyalar!$E:$E,"chiqim"))</f>
        <v/>
      </c>
      <c r="I76" s="8">
        <f>IF(A80="","",SUMIFS(Operatsiyalar!$J:$J,Operatsiyalar!$C:$C,A80,Operatsiyalar!$E:$E,"chiqim"))</f>
        <v/>
      </c>
      <c r="J76" s="8">
        <f>IF(A80="","",D80+H80-F80)</f>
        <v/>
      </c>
      <c r="K76" s="8">
        <f>IF(A80="","",E80+I80-G80)</f>
        <v/>
      </c>
    </row>
    <row r="77">
      <c r="A77" s="5" t="n"/>
      <c r="B77" s="5" t="n"/>
      <c r="C77" s="6" t="n"/>
      <c r="D77" s="8" t="n"/>
      <c r="E77" s="8" t="n"/>
      <c r="F77" s="8">
        <f>IF(A81="","",SUMIFS(Operatsiyalar!$I:$I,Operatsiyalar!$C:$C,A81,Operatsiyalar!$E:$E,"kirim"))</f>
        <v/>
      </c>
      <c r="G77" s="8">
        <f>IF(A81="","",SUMIFS(Operatsiyalar!$J:$J,Operatsiyalar!$C:$C,A81,Operatsiyalar!$E:$E,"kirim"))</f>
        <v/>
      </c>
      <c r="H77" s="8">
        <f>IF(A81="","",SUMIFS(Operatsiyalar!$I:$I,Operatsiyalar!$C:$C,A81,Operatsiyalar!$E:$E,"chiqim"))</f>
        <v/>
      </c>
      <c r="I77" s="8">
        <f>IF(A81="","",SUMIFS(Operatsiyalar!$J:$J,Operatsiyalar!$C:$C,A81,Operatsiyalar!$E:$E,"chiqim"))</f>
        <v/>
      </c>
      <c r="J77" s="8">
        <f>IF(A81="","",D81+H81-F81)</f>
        <v/>
      </c>
      <c r="K77" s="8">
        <f>IF(A81="","",E81+I81-G81)</f>
        <v/>
      </c>
    </row>
    <row r="78">
      <c r="A78" s="5" t="n"/>
      <c r="B78" s="5" t="n"/>
      <c r="C78" s="6" t="n"/>
      <c r="D78" s="8" t="n"/>
      <c r="E78" s="8" t="n"/>
      <c r="F78" s="8">
        <f>IF(A82="","",SUMIFS(Operatsiyalar!$I:$I,Operatsiyalar!$C:$C,A82,Operatsiyalar!$E:$E,"kirim"))</f>
        <v/>
      </c>
      <c r="G78" s="8">
        <f>IF(A82="","",SUMIFS(Operatsiyalar!$J:$J,Operatsiyalar!$C:$C,A82,Operatsiyalar!$E:$E,"kirim"))</f>
        <v/>
      </c>
      <c r="H78" s="8">
        <f>IF(A82="","",SUMIFS(Operatsiyalar!$I:$I,Operatsiyalar!$C:$C,A82,Operatsiyalar!$E:$E,"chiqim"))</f>
        <v/>
      </c>
      <c r="I78" s="8">
        <f>IF(A82="","",SUMIFS(Operatsiyalar!$J:$J,Operatsiyalar!$C:$C,A82,Operatsiyalar!$E:$E,"chiqim"))</f>
        <v/>
      </c>
      <c r="J78" s="8">
        <f>IF(A82="","",D82+H82-F82)</f>
        <v/>
      </c>
      <c r="K78" s="8">
        <f>IF(A82="","",E82+I82-G82)</f>
        <v/>
      </c>
    </row>
    <row r="79">
      <c r="A79" s="5" t="n"/>
      <c r="B79" s="5" t="n"/>
      <c r="C79" s="6" t="n"/>
      <c r="D79" s="8" t="n"/>
      <c r="E79" s="8" t="n"/>
      <c r="F79" s="8">
        <f>IF(A83="","",SUMIFS(Operatsiyalar!$I:$I,Operatsiyalar!$C:$C,A83,Operatsiyalar!$E:$E,"kirim"))</f>
        <v/>
      </c>
      <c r="G79" s="8">
        <f>IF(A83="","",SUMIFS(Operatsiyalar!$J:$J,Operatsiyalar!$C:$C,A83,Operatsiyalar!$E:$E,"kirim"))</f>
        <v/>
      </c>
      <c r="H79" s="8">
        <f>IF(A83="","",SUMIFS(Operatsiyalar!$I:$I,Operatsiyalar!$C:$C,A83,Operatsiyalar!$E:$E,"chiqim"))</f>
        <v/>
      </c>
      <c r="I79" s="8">
        <f>IF(A83="","",SUMIFS(Operatsiyalar!$J:$J,Operatsiyalar!$C:$C,A83,Operatsiyalar!$E:$E,"chiqim"))</f>
        <v/>
      </c>
      <c r="J79" s="8">
        <f>IF(A83="","",D83+H83-F83)</f>
        <v/>
      </c>
      <c r="K79" s="8">
        <f>IF(A83="","",E83+I83-G83)</f>
        <v/>
      </c>
    </row>
    <row r="80">
      <c r="A80" s="5" t="n"/>
      <c r="B80" s="5" t="n"/>
      <c r="C80" s="6" t="n"/>
      <c r="D80" s="8" t="n"/>
      <c r="E80" s="8" t="n"/>
      <c r="F80" s="8">
        <f>IF(A84="","",SUMIFS(Operatsiyalar!$I:$I,Operatsiyalar!$C:$C,A84,Operatsiyalar!$E:$E,"kirim"))</f>
        <v/>
      </c>
      <c r="G80" s="8">
        <f>IF(A84="","",SUMIFS(Operatsiyalar!$J:$J,Operatsiyalar!$C:$C,A84,Operatsiyalar!$E:$E,"kirim"))</f>
        <v/>
      </c>
      <c r="H80" s="8">
        <f>IF(A84="","",SUMIFS(Operatsiyalar!$I:$I,Operatsiyalar!$C:$C,A84,Operatsiyalar!$E:$E,"chiqim"))</f>
        <v/>
      </c>
      <c r="I80" s="8">
        <f>IF(A84="","",SUMIFS(Operatsiyalar!$J:$J,Operatsiyalar!$C:$C,A84,Operatsiyalar!$E:$E,"chiqim"))</f>
        <v/>
      </c>
      <c r="J80" s="8">
        <f>IF(A84="","",D84+H84-F84)</f>
        <v/>
      </c>
      <c r="K80" s="8">
        <f>IF(A84="","",E84+I84-G84)</f>
        <v/>
      </c>
    </row>
    <row r="81">
      <c r="A81" s="5" t="n"/>
      <c r="B81" s="5" t="n"/>
      <c r="C81" s="6" t="n"/>
      <c r="D81" s="8" t="n"/>
      <c r="E81" s="8" t="n"/>
      <c r="F81" s="8">
        <f>IF(A85="","",SUMIFS(Operatsiyalar!$I:$I,Operatsiyalar!$C:$C,A85,Operatsiyalar!$E:$E,"kirim"))</f>
        <v/>
      </c>
      <c r="G81" s="8">
        <f>IF(A85="","",SUMIFS(Operatsiyalar!$J:$J,Operatsiyalar!$C:$C,A85,Operatsiyalar!$E:$E,"kirim"))</f>
        <v/>
      </c>
      <c r="H81" s="8">
        <f>IF(A85="","",SUMIFS(Operatsiyalar!$I:$I,Operatsiyalar!$C:$C,A85,Operatsiyalar!$E:$E,"chiqim"))</f>
        <v/>
      </c>
      <c r="I81" s="8">
        <f>IF(A85="","",SUMIFS(Operatsiyalar!$J:$J,Operatsiyalar!$C:$C,A85,Operatsiyalar!$E:$E,"chiqim"))</f>
        <v/>
      </c>
      <c r="J81" s="8">
        <f>IF(A85="","",D85+H85-F85)</f>
        <v/>
      </c>
      <c r="K81" s="8">
        <f>IF(A85="","",E85+I85-G85)</f>
        <v/>
      </c>
    </row>
    <row r="82">
      <c r="A82" s="5" t="n"/>
      <c r="B82" s="5" t="n"/>
      <c r="C82" s="6" t="n"/>
      <c r="D82" s="8" t="n"/>
      <c r="E82" s="8" t="n"/>
      <c r="F82" s="8">
        <f>IF(A86="","",SUMIFS(Operatsiyalar!$I:$I,Operatsiyalar!$C:$C,A86,Operatsiyalar!$E:$E,"kirim"))</f>
        <v/>
      </c>
      <c r="G82" s="8">
        <f>IF(A86="","",SUMIFS(Operatsiyalar!$J:$J,Operatsiyalar!$C:$C,A86,Operatsiyalar!$E:$E,"kirim"))</f>
        <v/>
      </c>
      <c r="H82" s="8">
        <f>IF(A86="","",SUMIFS(Operatsiyalar!$I:$I,Operatsiyalar!$C:$C,A86,Operatsiyalar!$E:$E,"chiqim"))</f>
        <v/>
      </c>
      <c r="I82" s="8">
        <f>IF(A86="","",SUMIFS(Operatsiyalar!$J:$J,Operatsiyalar!$C:$C,A86,Operatsiyalar!$E:$E,"chiqim"))</f>
        <v/>
      </c>
      <c r="J82" s="8">
        <f>IF(A86="","",D86+H86-F86)</f>
        <v/>
      </c>
      <c r="K82" s="8">
        <f>IF(A86="","",E86+I86-G86)</f>
        <v/>
      </c>
    </row>
    <row r="83">
      <c r="A83" s="5" t="n"/>
      <c r="B83" s="5" t="n"/>
      <c r="C83" s="6" t="n"/>
      <c r="D83" s="8" t="n"/>
      <c r="E83" s="8" t="n"/>
      <c r="F83" s="8">
        <f>IF(A87="","",SUMIFS(Operatsiyalar!$I:$I,Operatsiyalar!$C:$C,A87,Operatsiyalar!$E:$E,"kirim"))</f>
        <v/>
      </c>
      <c r="G83" s="8">
        <f>IF(A87="","",SUMIFS(Operatsiyalar!$J:$J,Operatsiyalar!$C:$C,A87,Operatsiyalar!$E:$E,"kirim"))</f>
        <v/>
      </c>
      <c r="H83" s="8">
        <f>IF(A87="","",SUMIFS(Operatsiyalar!$I:$I,Operatsiyalar!$C:$C,A87,Operatsiyalar!$E:$E,"chiqim"))</f>
        <v/>
      </c>
      <c r="I83" s="8">
        <f>IF(A87="","",SUMIFS(Operatsiyalar!$J:$J,Operatsiyalar!$C:$C,A87,Operatsiyalar!$E:$E,"chiqim"))</f>
        <v/>
      </c>
      <c r="J83" s="8">
        <f>IF(A87="","",D87+H87-F87)</f>
        <v/>
      </c>
      <c r="K83" s="8">
        <f>IF(A87="","",E87+I87-G87)</f>
        <v/>
      </c>
    </row>
    <row r="84">
      <c r="A84" s="5" t="n"/>
      <c r="B84" s="5" t="n"/>
      <c r="C84" s="6" t="n"/>
      <c r="D84" s="8" t="n"/>
      <c r="E84" s="8" t="n"/>
      <c r="F84" s="8">
        <f>IF(A88="","",SUMIFS(Operatsiyalar!$I:$I,Operatsiyalar!$C:$C,A88,Operatsiyalar!$E:$E,"kirim"))</f>
        <v/>
      </c>
      <c r="G84" s="8">
        <f>IF(A88="","",SUMIFS(Operatsiyalar!$J:$J,Operatsiyalar!$C:$C,A88,Operatsiyalar!$E:$E,"kirim"))</f>
        <v/>
      </c>
      <c r="H84" s="8">
        <f>IF(A88="","",SUMIFS(Operatsiyalar!$I:$I,Operatsiyalar!$C:$C,A88,Operatsiyalar!$E:$E,"chiqim"))</f>
        <v/>
      </c>
      <c r="I84" s="8">
        <f>IF(A88="","",SUMIFS(Operatsiyalar!$J:$J,Operatsiyalar!$C:$C,A88,Operatsiyalar!$E:$E,"chiqim"))</f>
        <v/>
      </c>
      <c r="J84" s="8">
        <f>IF(A88="","",D88+H88-F88)</f>
        <v/>
      </c>
      <c r="K84" s="8">
        <f>IF(A88="","",E88+I88-G88)</f>
        <v/>
      </c>
    </row>
    <row r="85">
      <c r="A85" s="5" t="n"/>
      <c r="B85" s="5" t="n"/>
      <c r="C85" s="6" t="n"/>
      <c r="D85" s="8" t="n"/>
      <c r="E85" s="8" t="n"/>
      <c r="F85" s="8">
        <f>IF(A89="","",SUMIFS(Operatsiyalar!$I:$I,Operatsiyalar!$C:$C,A89,Operatsiyalar!$E:$E,"kirim"))</f>
        <v/>
      </c>
      <c r="G85" s="8">
        <f>IF(A89="","",SUMIFS(Operatsiyalar!$J:$J,Operatsiyalar!$C:$C,A89,Operatsiyalar!$E:$E,"kirim"))</f>
        <v/>
      </c>
      <c r="H85" s="8">
        <f>IF(A89="","",SUMIFS(Operatsiyalar!$I:$I,Operatsiyalar!$C:$C,A89,Operatsiyalar!$E:$E,"chiqim"))</f>
        <v/>
      </c>
      <c r="I85" s="8">
        <f>IF(A89="","",SUMIFS(Operatsiyalar!$J:$J,Operatsiyalar!$C:$C,A89,Operatsiyalar!$E:$E,"chiqim"))</f>
        <v/>
      </c>
      <c r="J85" s="8">
        <f>IF(A89="","",D89+H89-F89)</f>
        <v/>
      </c>
      <c r="K85" s="8">
        <f>IF(A89="","",E89+I89-G89)</f>
        <v/>
      </c>
    </row>
    <row r="86">
      <c r="A86" s="5" t="n"/>
      <c r="B86" s="5" t="n"/>
      <c r="C86" s="6" t="n"/>
      <c r="D86" s="8" t="n"/>
      <c r="E86" s="8" t="n"/>
      <c r="F86" s="8">
        <f>IF(A90="","",SUMIFS(Operatsiyalar!$I:$I,Operatsiyalar!$C:$C,A90,Operatsiyalar!$E:$E,"kirim"))</f>
        <v/>
      </c>
      <c r="G86" s="8">
        <f>IF(A90="","",SUMIFS(Operatsiyalar!$J:$J,Operatsiyalar!$C:$C,A90,Operatsiyalar!$E:$E,"kirim"))</f>
        <v/>
      </c>
      <c r="H86" s="8">
        <f>IF(A90="","",SUMIFS(Operatsiyalar!$I:$I,Operatsiyalar!$C:$C,A90,Operatsiyalar!$E:$E,"chiqim"))</f>
        <v/>
      </c>
      <c r="I86" s="8">
        <f>IF(A90="","",SUMIFS(Operatsiyalar!$J:$J,Operatsiyalar!$C:$C,A90,Operatsiyalar!$E:$E,"chiqim"))</f>
        <v/>
      </c>
      <c r="J86" s="8">
        <f>IF(A90="","",D90+H90-F90)</f>
        <v/>
      </c>
      <c r="K86" s="8">
        <f>IF(A90="","",E90+I90-G90)</f>
        <v/>
      </c>
    </row>
    <row r="87">
      <c r="A87" s="5" t="n"/>
      <c r="B87" s="5" t="n"/>
      <c r="C87" s="6" t="n"/>
      <c r="D87" s="8" t="n"/>
      <c r="E87" s="8" t="n"/>
      <c r="F87" s="8">
        <f>IF(A91="","",SUMIFS(Operatsiyalar!$I:$I,Operatsiyalar!$C:$C,A91,Operatsiyalar!$E:$E,"kirim"))</f>
        <v/>
      </c>
      <c r="G87" s="8">
        <f>IF(A91="","",SUMIFS(Operatsiyalar!$J:$J,Operatsiyalar!$C:$C,A91,Operatsiyalar!$E:$E,"kirim"))</f>
        <v/>
      </c>
      <c r="H87" s="8">
        <f>IF(A91="","",SUMIFS(Operatsiyalar!$I:$I,Operatsiyalar!$C:$C,A91,Operatsiyalar!$E:$E,"chiqim"))</f>
        <v/>
      </c>
      <c r="I87" s="8">
        <f>IF(A91="","",SUMIFS(Operatsiyalar!$J:$J,Operatsiyalar!$C:$C,A91,Operatsiyalar!$E:$E,"chiqim"))</f>
        <v/>
      </c>
      <c r="J87" s="8">
        <f>IF(A91="","",D91+H91-F91)</f>
        <v/>
      </c>
      <c r="K87" s="8">
        <f>IF(A91="","",E91+I91-G91)</f>
        <v/>
      </c>
    </row>
    <row r="88">
      <c r="A88" s="5" t="n"/>
      <c r="B88" s="5" t="n"/>
      <c r="C88" s="6" t="n"/>
      <c r="D88" s="8" t="n"/>
      <c r="E88" s="8" t="n"/>
      <c r="F88" s="8">
        <f>IF(A92="","",SUMIFS(Operatsiyalar!$I:$I,Operatsiyalar!$C:$C,A92,Operatsiyalar!$E:$E,"kirim"))</f>
        <v/>
      </c>
      <c r="G88" s="8">
        <f>IF(A92="","",SUMIFS(Operatsiyalar!$J:$J,Operatsiyalar!$C:$C,A92,Operatsiyalar!$E:$E,"kirim"))</f>
        <v/>
      </c>
      <c r="H88" s="8">
        <f>IF(A92="","",SUMIFS(Operatsiyalar!$I:$I,Operatsiyalar!$C:$C,A92,Operatsiyalar!$E:$E,"chiqim"))</f>
        <v/>
      </c>
      <c r="I88" s="8">
        <f>IF(A92="","",SUMIFS(Operatsiyalar!$J:$J,Operatsiyalar!$C:$C,A92,Operatsiyalar!$E:$E,"chiqim"))</f>
        <v/>
      </c>
      <c r="J88" s="8">
        <f>IF(A92="","",D92+H92-F92)</f>
        <v/>
      </c>
      <c r="K88" s="8">
        <f>IF(A92="","",E92+I92-G92)</f>
        <v/>
      </c>
    </row>
    <row r="89">
      <c r="A89" s="5" t="n"/>
      <c r="B89" s="5" t="n"/>
      <c r="C89" s="6" t="n"/>
      <c r="D89" s="8" t="n"/>
      <c r="E89" s="8" t="n"/>
      <c r="F89" s="8">
        <f>IF(A93="","",SUMIFS(Operatsiyalar!$I:$I,Operatsiyalar!$C:$C,A93,Operatsiyalar!$E:$E,"kirim"))</f>
        <v/>
      </c>
      <c r="G89" s="8">
        <f>IF(A93="","",SUMIFS(Operatsiyalar!$J:$J,Operatsiyalar!$C:$C,A93,Operatsiyalar!$E:$E,"kirim"))</f>
        <v/>
      </c>
      <c r="H89" s="8">
        <f>IF(A93="","",SUMIFS(Operatsiyalar!$I:$I,Operatsiyalar!$C:$C,A93,Operatsiyalar!$E:$E,"chiqim"))</f>
        <v/>
      </c>
      <c r="I89" s="8">
        <f>IF(A93="","",SUMIFS(Operatsiyalar!$J:$J,Operatsiyalar!$C:$C,A93,Operatsiyalar!$E:$E,"chiqim"))</f>
        <v/>
      </c>
      <c r="J89" s="8">
        <f>IF(A93="","",D93+H93-F93)</f>
        <v/>
      </c>
      <c r="K89" s="8">
        <f>IF(A93="","",E93+I93-G93)</f>
        <v/>
      </c>
    </row>
    <row r="90">
      <c r="A90" s="5" t="n"/>
      <c r="B90" s="5" t="n"/>
      <c r="C90" s="6" t="n"/>
      <c r="D90" s="8" t="n"/>
      <c r="E90" s="8" t="n"/>
      <c r="F90" s="8">
        <f>IF(A94="","",SUMIFS(Operatsiyalar!$I:$I,Operatsiyalar!$C:$C,A94,Operatsiyalar!$E:$E,"kirim"))</f>
        <v/>
      </c>
      <c r="G90" s="8">
        <f>IF(A94="","",SUMIFS(Operatsiyalar!$J:$J,Operatsiyalar!$C:$C,A94,Operatsiyalar!$E:$E,"kirim"))</f>
        <v/>
      </c>
      <c r="H90" s="8">
        <f>IF(A94="","",SUMIFS(Operatsiyalar!$I:$I,Operatsiyalar!$C:$C,A94,Operatsiyalar!$E:$E,"chiqim"))</f>
        <v/>
      </c>
      <c r="I90" s="8">
        <f>IF(A94="","",SUMIFS(Operatsiyalar!$J:$J,Operatsiyalar!$C:$C,A94,Operatsiyalar!$E:$E,"chiqim"))</f>
        <v/>
      </c>
      <c r="J90" s="8">
        <f>IF(A94="","",D94+H94-F94)</f>
        <v/>
      </c>
      <c r="K90" s="8">
        <f>IF(A94="","",E94+I94-G94)</f>
        <v/>
      </c>
    </row>
    <row r="91">
      <c r="A91" s="5" t="n"/>
      <c r="B91" s="5" t="n"/>
      <c r="C91" s="6" t="n"/>
      <c r="D91" s="8" t="n"/>
      <c r="E91" s="8" t="n"/>
      <c r="F91" s="8">
        <f>IF(A95="","",SUMIFS(Operatsiyalar!$I:$I,Operatsiyalar!$C:$C,A95,Operatsiyalar!$E:$E,"kirim"))</f>
        <v/>
      </c>
      <c r="G91" s="8">
        <f>IF(A95="","",SUMIFS(Operatsiyalar!$J:$J,Operatsiyalar!$C:$C,A95,Operatsiyalar!$E:$E,"kirim"))</f>
        <v/>
      </c>
      <c r="H91" s="8">
        <f>IF(A95="","",SUMIFS(Operatsiyalar!$I:$I,Operatsiyalar!$C:$C,A95,Operatsiyalar!$E:$E,"chiqim"))</f>
        <v/>
      </c>
      <c r="I91" s="8">
        <f>IF(A95="","",SUMIFS(Operatsiyalar!$J:$J,Operatsiyalar!$C:$C,A95,Operatsiyalar!$E:$E,"chiqim"))</f>
        <v/>
      </c>
      <c r="J91" s="8">
        <f>IF(A95="","",D95+H95-F95)</f>
        <v/>
      </c>
      <c r="K91" s="8">
        <f>IF(A95="","",E95+I95-G95)</f>
        <v/>
      </c>
    </row>
    <row r="92">
      <c r="A92" s="5" t="n"/>
      <c r="B92" s="5" t="n"/>
      <c r="C92" s="6" t="n"/>
      <c r="D92" s="8" t="n"/>
      <c r="E92" s="8" t="n"/>
      <c r="F92" s="8">
        <f>IF(A96="","",SUMIFS(Operatsiyalar!$I:$I,Operatsiyalar!$C:$C,A96,Operatsiyalar!$E:$E,"kirim"))</f>
        <v/>
      </c>
      <c r="G92" s="8">
        <f>IF(A96="","",SUMIFS(Operatsiyalar!$J:$J,Operatsiyalar!$C:$C,A96,Operatsiyalar!$E:$E,"kirim"))</f>
        <v/>
      </c>
      <c r="H92" s="8">
        <f>IF(A96="","",SUMIFS(Operatsiyalar!$I:$I,Operatsiyalar!$C:$C,A96,Operatsiyalar!$E:$E,"chiqim"))</f>
        <v/>
      </c>
      <c r="I92" s="8">
        <f>IF(A96="","",SUMIFS(Operatsiyalar!$J:$J,Operatsiyalar!$C:$C,A96,Operatsiyalar!$E:$E,"chiqim"))</f>
        <v/>
      </c>
      <c r="J92" s="8">
        <f>IF(A96="","",D96+H96-F96)</f>
        <v/>
      </c>
      <c r="K92" s="8">
        <f>IF(A96="","",E96+I96-G96)</f>
        <v/>
      </c>
    </row>
    <row r="93">
      <c r="A93" s="5" t="n"/>
      <c r="B93" s="5" t="n"/>
      <c r="C93" s="6" t="n"/>
      <c r="D93" s="8" t="n"/>
      <c r="E93" s="8" t="n"/>
      <c r="F93" s="8">
        <f>IF(A97="","",SUMIFS(Operatsiyalar!$I:$I,Operatsiyalar!$C:$C,A97,Operatsiyalar!$E:$E,"kirim"))</f>
        <v/>
      </c>
      <c r="G93" s="8">
        <f>IF(A97="","",SUMIFS(Operatsiyalar!$J:$J,Operatsiyalar!$C:$C,A97,Operatsiyalar!$E:$E,"kirim"))</f>
        <v/>
      </c>
      <c r="H93" s="8">
        <f>IF(A97="","",SUMIFS(Operatsiyalar!$I:$I,Operatsiyalar!$C:$C,A97,Operatsiyalar!$E:$E,"chiqim"))</f>
        <v/>
      </c>
      <c r="I93" s="8">
        <f>IF(A97="","",SUMIFS(Operatsiyalar!$J:$J,Operatsiyalar!$C:$C,A97,Operatsiyalar!$E:$E,"chiqim"))</f>
        <v/>
      </c>
      <c r="J93" s="8">
        <f>IF(A97="","",D97+H97-F97)</f>
        <v/>
      </c>
      <c r="K93" s="8">
        <f>IF(A97="","",E97+I97-G97)</f>
        <v/>
      </c>
    </row>
    <row r="94">
      <c r="A94" s="5" t="n"/>
      <c r="B94" s="5" t="n"/>
      <c r="C94" s="6" t="n"/>
      <c r="D94" s="8" t="n"/>
      <c r="E94" s="8" t="n"/>
      <c r="F94" s="8">
        <f>IF(A98="","",SUMIFS(Operatsiyalar!$I:$I,Operatsiyalar!$C:$C,A98,Operatsiyalar!$E:$E,"kirim"))</f>
        <v/>
      </c>
      <c r="G94" s="8">
        <f>IF(A98="","",SUMIFS(Operatsiyalar!$J:$J,Operatsiyalar!$C:$C,A98,Operatsiyalar!$E:$E,"kirim"))</f>
        <v/>
      </c>
      <c r="H94" s="8">
        <f>IF(A98="","",SUMIFS(Operatsiyalar!$I:$I,Operatsiyalar!$C:$C,A98,Operatsiyalar!$E:$E,"chiqim"))</f>
        <v/>
      </c>
      <c r="I94" s="8">
        <f>IF(A98="","",SUMIFS(Operatsiyalar!$J:$J,Operatsiyalar!$C:$C,A98,Operatsiyalar!$E:$E,"chiqim"))</f>
        <v/>
      </c>
      <c r="J94" s="8">
        <f>IF(A98="","",D98+H98-F98)</f>
        <v/>
      </c>
      <c r="K94" s="8">
        <f>IF(A98="","",E98+I98-G98)</f>
        <v/>
      </c>
    </row>
    <row r="95">
      <c r="A95" s="5" t="n"/>
      <c r="B95" s="5" t="n"/>
      <c r="C95" s="6" t="n"/>
      <c r="D95" s="8" t="n"/>
      <c r="E95" s="8" t="n"/>
      <c r="F95" s="8">
        <f>IF(A99="","",SUMIFS(Operatsiyalar!$I:$I,Operatsiyalar!$C:$C,A99,Operatsiyalar!$E:$E,"kirim"))</f>
        <v/>
      </c>
      <c r="G95" s="8">
        <f>IF(A99="","",SUMIFS(Operatsiyalar!$J:$J,Operatsiyalar!$C:$C,A99,Operatsiyalar!$E:$E,"kirim"))</f>
        <v/>
      </c>
      <c r="H95" s="8">
        <f>IF(A99="","",SUMIFS(Operatsiyalar!$I:$I,Operatsiyalar!$C:$C,A99,Operatsiyalar!$E:$E,"chiqim"))</f>
        <v/>
      </c>
      <c r="I95" s="8">
        <f>IF(A99="","",SUMIFS(Operatsiyalar!$J:$J,Operatsiyalar!$C:$C,A99,Operatsiyalar!$E:$E,"chiqim"))</f>
        <v/>
      </c>
      <c r="J95" s="8">
        <f>IF(A99="","",D99+H99-F99)</f>
        <v/>
      </c>
      <c r="K95" s="8">
        <f>IF(A99="","",E99+I99-G99)</f>
        <v/>
      </c>
    </row>
    <row r="96">
      <c r="A96" s="5" t="n"/>
      <c r="B96" s="5" t="n"/>
      <c r="C96" s="6" t="n"/>
      <c r="D96" s="8" t="n"/>
      <c r="E96" s="8" t="n"/>
      <c r="F96" s="8">
        <f>IF(A100="","",SUMIFS(Operatsiyalar!$I:$I,Operatsiyalar!$C:$C,A100,Operatsiyalar!$E:$E,"kirim"))</f>
        <v/>
      </c>
      <c r="G96" s="8">
        <f>IF(A100="","",SUMIFS(Operatsiyalar!$J:$J,Operatsiyalar!$C:$C,A100,Operatsiyalar!$E:$E,"kirim"))</f>
        <v/>
      </c>
      <c r="H96" s="8">
        <f>IF(A100="","",SUMIFS(Operatsiyalar!$I:$I,Operatsiyalar!$C:$C,A100,Operatsiyalar!$E:$E,"chiqim"))</f>
        <v/>
      </c>
      <c r="I96" s="8">
        <f>IF(A100="","",SUMIFS(Operatsiyalar!$J:$J,Operatsiyalar!$C:$C,A100,Operatsiyalar!$E:$E,"chiqim"))</f>
        <v/>
      </c>
      <c r="J96" s="8">
        <f>IF(A100="","",D100+H100-F100)</f>
        <v/>
      </c>
      <c r="K96" s="8">
        <f>IF(A100="","",E100+I100-G100)</f>
        <v/>
      </c>
    </row>
    <row r="97">
      <c r="A97" s="5" t="n"/>
      <c r="B97" s="5" t="n"/>
      <c r="C97" s="6" t="n"/>
      <c r="D97" s="8" t="n"/>
      <c r="E97" s="8" t="n"/>
      <c r="F97" s="8">
        <f>IF(A101="","",SUMIFS(Operatsiyalar!$I:$I,Operatsiyalar!$C:$C,A101,Operatsiyalar!$E:$E,"kirim"))</f>
        <v/>
      </c>
      <c r="G97" s="8">
        <f>IF(A101="","",SUMIFS(Operatsiyalar!$J:$J,Operatsiyalar!$C:$C,A101,Operatsiyalar!$E:$E,"kirim"))</f>
        <v/>
      </c>
      <c r="H97" s="8">
        <f>IF(A101="","",SUMIFS(Operatsiyalar!$I:$I,Operatsiyalar!$C:$C,A101,Operatsiyalar!$E:$E,"chiqim"))</f>
        <v/>
      </c>
      <c r="I97" s="8">
        <f>IF(A101="","",SUMIFS(Operatsiyalar!$J:$J,Operatsiyalar!$C:$C,A101,Operatsiyalar!$E:$E,"chiqim"))</f>
        <v/>
      </c>
      <c r="J97" s="8">
        <f>IF(A101="","",D101+H101-F101)</f>
        <v/>
      </c>
      <c r="K97" s="8">
        <f>IF(A101="","",E101+I101-G101)</f>
        <v/>
      </c>
    </row>
    <row r="98">
      <c r="A98" s="5" t="n"/>
      <c r="B98" s="5" t="n"/>
      <c r="C98" s="6" t="n"/>
      <c r="D98" s="8" t="n"/>
      <c r="E98" s="8" t="n"/>
      <c r="F98" s="8">
        <f>IF(A102="","",SUMIFS(Operatsiyalar!$I:$I,Operatsiyalar!$C:$C,A102,Operatsiyalar!$E:$E,"kirim"))</f>
        <v/>
      </c>
      <c r="G98" s="8">
        <f>IF(A102="","",SUMIFS(Operatsiyalar!$J:$J,Operatsiyalar!$C:$C,A102,Operatsiyalar!$E:$E,"kirim"))</f>
        <v/>
      </c>
      <c r="H98" s="8">
        <f>IF(A102="","",SUMIFS(Operatsiyalar!$I:$I,Operatsiyalar!$C:$C,A102,Operatsiyalar!$E:$E,"chiqim"))</f>
        <v/>
      </c>
      <c r="I98" s="8">
        <f>IF(A102="","",SUMIFS(Operatsiyalar!$J:$J,Operatsiyalar!$C:$C,A102,Operatsiyalar!$E:$E,"chiqim"))</f>
        <v/>
      </c>
      <c r="J98" s="8">
        <f>IF(A102="","",D102+H102-F102)</f>
        <v/>
      </c>
      <c r="K98" s="8">
        <f>IF(A102="","",E102+I102-G102)</f>
        <v/>
      </c>
    </row>
    <row r="99">
      <c r="A99" s="5" t="n"/>
      <c r="B99" s="5" t="n"/>
      <c r="C99" s="6" t="n"/>
      <c r="D99" s="8" t="n"/>
      <c r="E99" s="8" t="n"/>
      <c r="F99" s="8">
        <f>IF(A103="","",SUMIFS(Operatsiyalar!$I:$I,Operatsiyalar!$C:$C,A103,Operatsiyalar!$E:$E,"kirim"))</f>
        <v/>
      </c>
      <c r="G99" s="8">
        <f>IF(A103="","",SUMIFS(Operatsiyalar!$J:$J,Operatsiyalar!$C:$C,A103,Operatsiyalar!$E:$E,"kirim"))</f>
        <v/>
      </c>
      <c r="H99" s="8">
        <f>IF(A103="","",SUMIFS(Operatsiyalar!$I:$I,Operatsiyalar!$C:$C,A103,Operatsiyalar!$E:$E,"chiqim"))</f>
        <v/>
      </c>
      <c r="I99" s="8">
        <f>IF(A103="","",SUMIFS(Operatsiyalar!$J:$J,Operatsiyalar!$C:$C,A103,Operatsiyalar!$E:$E,"chiqim"))</f>
        <v/>
      </c>
      <c r="J99" s="8">
        <f>IF(A103="","",D103+H103-F103)</f>
        <v/>
      </c>
      <c r="K99" s="8">
        <f>IF(A103="","",E103+I103-G103)</f>
        <v/>
      </c>
    </row>
    <row r="100">
      <c r="A100" s="5" t="n"/>
      <c r="B100" s="5" t="n"/>
      <c r="C100" s="6" t="n"/>
      <c r="D100" s="8" t="n"/>
      <c r="E100" s="8" t="n"/>
      <c r="F100" s="8">
        <f>IF(A104="","",SUMIFS(Operatsiyalar!$I:$I,Operatsiyalar!$C:$C,A104,Operatsiyalar!$E:$E,"kirim"))</f>
        <v/>
      </c>
      <c r="G100" s="8">
        <f>IF(A104="","",SUMIFS(Operatsiyalar!$J:$J,Operatsiyalar!$C:$C,A104,Operatsiyalar!$E:$E,"kirim"))</f>
        <v/>
      </c>
      <c r="H100" s="8">
        <f>IF(A104="","",SUMIFS(Operatsiyalar!$I:$I,Operatsiyalar!$C:$C,A104,Operatsiyalar!$E:$E,"chiqim"))</f>
        <v/>
      </c>
      <c r="I100" s="8">
        <f>IF(A104="","",SUMIFS(Operatsiyalar!$J:$J,Operatsiyalar!$C:$C,A104,Operatsiyalar!$E:$E,"chiqim"))</f>
        <v/>
      </c>
      <c r="J100" s="8">
        <f>IF(A104="","",D104+H104-F104)</f>
        <v/>
      </c>
      <c r="K100" s="8">
        <f>IF(A104="","",E104+I104-G104)</f>
        <v/>
      </c>
    </row>
    <row r="101">
      <c r="A101" s="5" t="n"/>
      <c r="B101" s="5" t="n"/>
      <c r="C101" s="6" t="n"/>
      <c r="D101" s="8" t="n"/>
      <c r="E101" s="8" t="n"/>
      <c r="F101" s="8">
        <f>IF(A105="","",SUMIFS(Operatsiyalar!$I:$I,Operatsiyalar!$C:$C,A105,Operatsiyalar!$E:$E,"kirim"))</f>
        <v/>
      </c>
      <c r="G101" s="8">
        <f>IF(A105="","",SUMIFS(Operatsiyalar!$J:$J,Operatsiyalar!$C:$C,A105,Operatsiyalar!$E:$E,"kirim"))</f>
        <v/>
      </c>
      <c r="H101" s="8">
        <f>IF(A105="","",SUMIFS(Operatsiyalar!$I:$I,Operatsiyalar!$C:$C,A105,Operatsiyalar!$E:$E,"chiqim"))</f>
        <v/>
      </c>
      <c r="I101" s="8">
        <f>IF(A105="","",SUMIFS(Operatsiyalar!$J:$J,Operatsiyalar!$C:$C,A105,Operatsiyalar!$E:$E,"chiqim"))</f>
        <v/>
      </c>
      <c r="J101" s="8">
        <f>IF(A105="","",D105+H105-F105)</f>
        <v/>
      </c>
      <c r="K101" s="8">
        <f>IF(A105="","",E105+I105-G105)</f>
        <v/>
      </c>
    </row>
    <row r="102">
      <c r="A102" s="5" t="n"/>
      <c r="B102" s="5" t="n"/>
      <c r="C102" s="6" t="n"/>
      <c r="D102" s="8" t="n"/>
      <c r="E102" s="8" t="n"/>
      <c r="F102" s="8">
        <f>IF(A106="","",SUMIFS(Operatsiyalar!$I:$I,Operatsiyalar!$C:$C,A106,Operatsiyalar!$E:$E,"kirim"))</f>
        <v/>
      </c>
      <c r="G102" s="8">
        <f>IF(A106="","",SUMIFS(Operatsiyalar!$J:$J,Operatsiyalar!$C:$C,A106,Operatsiyalar!$E:$E,"kirim"))</f>
        <v/>
      </c>
      <c r="H102" s="8">
        <f>IF(A106="","",SUMIFS(Operatsiyalar!$I:$I,Operatsiyalar!$C:$C,A106,Operatsiyalar!$E:$E,"chiqim"))</f>
        <v/>
      </c>
      <c r="I102" s="8">
        <f>IF(A106="","",SUMIFS(Operatsiyalar!$J:$J,Operatsiyalar!$C:$C,A106,Operatsiyalar!$E:$E,"chiqim"))</f>
        <v/>
      </c>
      <c r="J102" s="8">
        <f>IF(A106="","",D106+H106-F106)</f>
        <v/>
      </c>
      <c r="K102" s="8">
        <f>IF(A106="","",E106+I106-G106)</f>
        <v/>
      </c>
    </row>
    <row r="103">
      <c r="A103" s="5" t="n"/>
      <c r="B103" s="5" t="n"/>
      <c r="C103" s="6" t="n"/>
      <c r="D103" s="8" t="n"/>
      <c r="E103" s="8" t="n"/>
      <c r="F103" s="8">
        <f>IF(A107="","",SUMIFS(Operatsiyalar!$I:$I,Operatsiyalar!$C:$C,A107,Operatsiyalar!$E:$E,"kirim"))</f>
        <v/>
      </c>
      <c r="G103" s="8">
        <f>IF(A107="","",SUMIFS(Operatsiyalar!$J:$J,Operatsiyalar!$C:$C,A107,Operatsiyalar!$E:$E,"kirim"))</f>
        <v/>
      </c>
      <c r="H103" s="8">
        <f>IF(A107="","",SUMIFS(Operatsiyalar!$I:$I,Operatsiyalar!$C:$C,A107,Operatsiyalar!$E:$E,"chiqim"))</f>
        <v/>
      </c>
      <c r="I103" s="8">
        <f>IF(A107="","",SUMIFS(Operatsiyalar!$J:$J,Operatsiyalar!$C:$C,A107,Operatsiyalar!$E:$E,"chiqim"))</f>
        <v/>
      </c>
      <c r="J103" s="8">
        <f>IF(A107="","",D107+H107-F107)</f>
        <v/>
      </c>
      <c r="K103" s="8">
        <f>IF(A107="","",E107+I107-G107)</f>
        <v/>
      </c>
    </row>
    <row r="104">
      <c r="A104" s="5" t="n"/>
      <c r="B104" s="5" t="n"/>
      <c r="C104" s="6" t="n"/>
      <c r="D104" s="8" t="n"/>
      <c r="E104" s="8" t="n"/>
      <c r="F104" s="8">
        <f>IF(A108="","",SUMIFS(Operatsiyalar!$I:$I,Operatsiyalar!$C:$C,A108,Operatsiyalar!$E:$E,"kirim"))</f>
        <v/>
      </c>
      <c r="G104" s="8">
        <f>IF(A108="","",SUMIFS(Operatsiyalar!$J:$J,Operatsiyalar!$C:$C,A108,Operatsiyalar!$E:$E,"kirim"))</f>
        <v/>
      </c>
      <c r="H104" s="8">
        <f>IF(A108="","",SUMIFS(Operatsiyalar!$I:$I,Operatsiyalar!$C:$C,A108,Operatsiyalar!$E:$E,"chiqim"))</f>
        <v/>
      </c>
      <c r="I104" s="8">
        <f>IF(A108="","",SUMIFS(Operatsiyalar!$J:$J,Operatsiyalar!$C:$C,A108,Operatsiyalar!$E:$E,"chiqim"))</f>
        <v/>
      </c>
      <c r="J104" s="8">
        <f>IF(A108="","",D108+H108-F108)</f>
        <v/>
      </c>
      <c r="K104" s="8">
        <f>IF(A108="","",E108+I108-G108)</f>
        <v/>
      </c>
    </row>
    <row r="105">
      <c r="A105" s="5" t="n"/>
      <c r="B105" s="5" t="n"/>
      <c r="C105" s="6" t="n"/>
      <c r="D105" s="8" t="n"/>
      <c r="E105" s="8" t="n"/>
      <c r="F105" s="8">
        <f>IF(A109="","",SUMIFS(Operatsiyalar!$I:$I,Operatsiyalar!$C:$C,A109,Operatsiyalar!$E:$E,"kirim"))</f>
        <v/>
      </c>
      <c r="G105" s="8">
        <f>IF(A109="","",SUMIFS(Operatsiyalar!$J:$J,Operatsiyalar!$C:$C,A109,Operatsiyalar!$E:$E,"kirim"))</f>
        <v/>
      </c>
      <c r="H105" s="8">
        <f>IF(A109="","",SUMIFS(Operatsiyalar!$I:$I,Operatsiyalar!$C:$C,A109,Operatsiyalar!$E:$E,"chiqim"))</f>
        <v/>
      </c>
      <c r="I105" s="8">
        <f>IF(A109="","",SUMIFS(Operatsiyalar!$J:$J,Operatsiyalar!$C:$C,A109,Operatsiyalar!$E:$E,"chiqim"))</f>
        <v/>
      </c>
      <c r="J105" s="8">
        <f>IF(A109="","",D109+H109-F109)</f>
        <v/>
      </c>
      <c r="K105" s="8">
        <f>IF(A109="","",E109+I109-G109)</f>
        <v/>
      </c>
    </row>
    <row r="106">
      <c r="A106" s="5" t="n"/>
      <c r="B106" s="5" t="n"/>
      <c r="C106" s="6" t="n"/>
      <c r="D106" s="8" t="n"/>
      <c r="E106" s="8" t="n"/>
      <c r="F106" s="8">
        <f>IF(A110="","",SUMIFS(Operatsiyalar!$I:$I,Operatsiyalar!$C:$C,A110,Operatsiyalar!$E:$E,"kirim"))</f>
        <v/>
      </c>
      <c r="G106" s="8">
        <f>IF(A110="","",SUMIFS(Operatsiyalar!$J:$J,Operatsiyalar!$C:$C,A110,Operatsiyalar!$E:$E,"kirim"))</f>
        <v/>
      </c>
      <c r="H106" s="8">
        <f>IF(A110="","",SUMIFS(Operatsiyalar!$I:$I,Operatsiyalar!$C:$C,A110,Operatsiyalar!$E:$E,"chiqim"))</f>
        <v/>
      </c>
      <c r="I106" s="8">
        <f>IF(A110="","",SUMIFS(Operatsiyalar!$J:$J,Operatsiyalar!$C:$C,A110,Operatsiyalar!$E:$E,"chiqim"))</f>
        <v/>
      </c>
      <c r="J106" s="8">
        <f>IF(A110="","",D110+H110-F110)</f>
        <v/>
      </c>
      <c r="K106" s="8">
        <f>IF(A110="","",E110+I110-G110)</f>
        <v/>
      </c>
    </row>
    <row r="107">
      <c r="A107" s="5" t="n"/>
      <c r="B107" s="5" t="n"/>
      <c r="C107" s="6" t="n"/>
      <c r="D107" s="8" t="n"/>
      <c r="E107" s="8" t="n"/>
      <c r="F107" s="8">
        <f>IF(A111="","",SUMIFS(Operatsiyalar!$I:$I,Operatsiyalar!$C:$C,A111,Operatsiyalar!$E:$E,"kirim"))</f>
        <v/>
      </c>
      <c r="G107" s="8">
        <f>IF(A111="","",SUMIFS(Operatsiyalar!$J:$J,Operatsiyalar!$C:$C,A111,Operatsiyalar!$E:$E,"kirim"))</f>
        <v/>
      </c>
      <c r="H107" s="8">
        <f>IF(A111="","",SUMIFS(Operatsiyalar!$I:$I,Operatsiyalar!$C:$C,A111,Operatsiyalar!$E:$E,"chiqim"))</f>
        <v/>
      </c>
      <c r="I107" s="8">
        <f>IF(A111="","",SUMIFS(Operatsiyalar!$J:$J,Operatsiyalar!$C:$C,A111,Operatsiyalar!$E:$E,"chiqim"))</f>
        <v/>
      </c>
      <c r="J107" s="8">
        <f>IF(A111="","",D111+H111-F111)</f>
        <v/>
      </c>
      <c r="K107" s="8">
        <f>IF(A111="","",E111+I111-G111)</f>
        <v/>
      </c>
    </row>
    <row r="108">
      <c r="A108" s="5" t="n"/>
      <c r="B108" s="5" t="n"/>
      <c r="C108" s="6" t="n"/>
      <c r="D108" s="8" t="n"/>
      <c r="E108" s="8" t="n"/>
      <c r="F108" s="8">
        <f>IF(A112="","",SUMIFS(Operatsiyalar!$I:$I,Operatsiyalar!$C:$C,A112,Operatsiyalar!$E:$E,"kirim"))</f>
        <v/>
      </c>
      <c r="G108" s="8">
        <f>IF(A112="","",SUMIFS(Operatsiyalar!$J:$J,Operatsiyalar!$C:$C,A112,Operatsiyalar!$E:$E,"kirim"))</f>
        <v/>
      </c>
      <c r="H108" s="8">
        <f>IF(A112="","",SUMIFS(Operatsiyalar!$I:$I,Operatsiyalar!$C:$C,A112,Operatsiyalar!$E:$E,"chiqim"))</f>
        <v/>
      </c>
      <c r="I108" s="8">
        <f>IF(A112="","",SUMIFS(Operatsiyalar!$J:$J,Operatsiyalar!$C:$C,A112,Operatsiyalar!$E:$E,"chiqim"))</f>
        <v/>
      </c>
      <c r="J108" s="8">
        <f>IF(A112="","",D112+H112-F112)</f>
        <v/>
      </c>
      <c r="K108" s="8">
        <f>IF(A112="","",E112+I112-G112)</f>
        <v/>
      </c>
    </row>
    <row r="109">
      <c r="A109" s="5" t="n"/>
      <c r="B109" s="5" t="n"/>
      <c r="C109" s="6" t="n"/>
      <c r="D109" s="8" t="n"/>
      <c r="E109" s="8" t="n"/>
      <c r="F109" s="8">
        <f>IF(A113="","",SUMIFS(Operatsiyalar!$I:$I,Operatsiyalar!$C:$C,A113,Operatsiyalar!$E:$E,"kirim"))</f>
        <v/>
      </c>
      <c r="G109" s="8">
        <f>IF(A113="","",SUMIFS(Operatsiyalar!$J:$J,Operatsiyalar!$C:$C,A113,Operatsiyalar!$E:$E,"kirim"))</f>
        <v/>
      </c>
      <c r="H109" s="8">
        <f>IF(A113="","",SUMIFS(Operatsiyalar!$I:$I,Operatsiyalar!$C:$C,A113,Operatsiyalar!$E:$E,"chiqim"))</f>
        <v/>
      </c>
      <c r="I109" s="8">
        <f>IF(A113="","",SUMIFS(Operatsiyalar!$J:$J,Operatsiyalar!$C:$C,A113,Operatsiyalar!$E:$E,"chiqim"))</f>
        <v/>
      </c>
      <c r="J109" s="8">
        <f>IF(A113="","",D113+H113-F113)</f>
        <v/>
      </c>
      <c r="K109" s="8">
        <f>IF(A113="","",E113+I113-G113)</f>
        <v/>
      </c>
    </row>
    <row r="110">
      <c r="A110" s="5" t="n"/>
      <c r="B110" s="5" t="n"/>
      <c r="C110" s="6" t="n"/>
      <c r="D110" s="8" t="n"/>
      <c r="E110" s="8" t="n"/>
      <c r="F110" s="8">
        <f>IF(A114="","",SUMIFS(Operatsiyalar!$I:$I,Operatsiyalar!$C:$C,A114,Operatsiyalar!$E:$E,"kirim"))</f>
        <v/>
      </c>
      <c r="G110" s="8">
        <f>IF(A114="","",SUMIFS(Operatsiyalar!$J:$J,Operatsiyalar!$C:$C,A114,Operatsiyalar!$E:$E,"kirim"))</f>
        <v/>
      </c>
      <c r="H110" s="8">
        <f>IF(A114="","",SUMIFS(Operatsiyalar!$I:$I,Operatsiyalar!$C:$C,A114,Operatsiyalar!$E:$E,"chiqim"))</f>
        <v/>
      </c>
      <c r="I110" s="8">
        <f>IF(A114="","",SUMIFS(Operatsiyalar!$J:$J,Operatsiyalar!$C:$C,A114,Operatsiyalar!$E:$E,"chiqim"))</f>
        <v/>
      </c>
      <c r="J110" s="8">
        <f>IF(A114="","",D114+H114-F114)</f>
        <v/>
      </c>
      <c r="K110" s="8">
        <f>IF(A114="","",E114+I114-G114)</f>
        <v/>
      </c>
    </row>
    <row r="111">
      <c r="A111" s="5" t="n"/>
      <c r="B111" s="5" t="n"/>
      <c r="C111" s="6" t="n"/>
      <c r="D111" s="8" t="n"/>
      <c r="E111" s="8" t="n"/>
      <c r="F111" s="8">
        <f>IF(A115="","",SUMIFS(Operatsiyalar!$I:$I,Operatsiyalar!$C:$C,A115,Operatsiyalar!$E:$E,"kirim"))</f>
        <v/>
      </c>
      <c r="G111" s="8">
        <f>IF(A115="","",SUMIFS(Operatsiyalar!$J:$J,Operatsiyalar!$C:$C,A115,Operatsiyalar!$E:$E,"kirim"))</f>
        <v/>
      </c>
      <c r="H111" s="8">
        <f>IF(A115="","",SUMIFS(Operatsiyalar!$I:$I,Operatsiyalar!$C:$C,A115,Operatsiyalar!$E:$E,"chiqim"))</f>
        <v/>
      </c>
      <c r="I111" s="8">
        <f>IF(A115="","",SUMIFS(Operatsiyalar!$J:$J,Operatsiyalar!$C:$C,A115,Operatsiyalar!$E:$E,"chiqim"))</f>
        <v/>
      </c>
      <c r="J111" s="8">
        <f>IF(A115="","",D115+H115-F115)</f>
        <v/>
      </c>
      <c r="K111" s="8">
        <f>IF(A115="","",E115+I115-G115)</f>
        <v/>
      </c>
    </row>
    <row r="112">
      <c r="A112" s="5" t="n"/>
      <c r="B112" s="5" t="n"/>
      <c r="C112" s="6" t="n"/>
      <c r="D112" s="8" t="n"/>
      <c r="E112" s="8" t="n"/>
      <c r="F112" s="8">
        <f>IF(A116="","",SUMIFS(Operatsiyalar!$I:$I,Operatsiyalar!$C:$C,A116,Operatsiyalar!$E:$E,"kirim"))</f>
        <v/>
      </c>
      <c r="G112" s="8">
        <f>IF(A116="","",SUMIFS(Operatsiyalar!$J:$J,Operatsiyalar!$C:$C,A116,Operatsiyalar!$E:$E,"kirim"))</f>
        <v/>
      </c>
      <c r="H112" s="8">
        <f>IF(A116="","",SUMIFS(Operatsiyalar!$I:$I,Operatsiyalar!$C:$C,A116,Operatsiyalar!$E:$E,"chiqim"))</f>
        <v/>
      </c>
      <c r="I112" s="8">
        <f>IF(A116="","",SUMIFS(Operatsiyalar!$J:$J,Operatsiyalar!$C:$C,A116,Operatsiyalar!$E:$E,"chiqim"))</f>
        <v/>
      </c>
      <c r="J112" s="8">
        <f>IF(A116="","",D116+H116-F116)</f>
        <v/>
      </c>
      <c r="K112" s="8">
        <f>IF(A116="","",E116+I116-G116)</f>
        <v/>
      </c>
    </row>
    <row r="113">
      <c r="A113" s="5" t="n"/>
      <c r="B113" s="5" t="n"/>
      <c r="C113" s="6" t="n"/>
      <c r="D113" s="8" t="n"/>
      <c r="E113" s="8" t="n"/>
      <c r="F113" s="8">
        <f>IF(A117="","",SUMIFS(Operatsiyalar!$I:$I,Operatsiyalar!$C:$C,A117,Operatsiyalar!$E:$E,"kirim"))</f>
        <v/>
      </c>
      <c r="G113" s="8">
        <f>IF(A117="","",SUMIFS(Operatsiyalar!$J:$J,Operatsiyalar!$C:$C,A117,Operatsiyalar!$E:$E,"kirim"))</f>
        <v/>
      </c>
      <c r="H113" s="8">
        <f>IF(A117="","",SUMIFS(Operatsiyalar!$I:$I,Operatsiyalar!$C:$C,A117,Operatsiyalar!$E:$E,"chiqim"))</f>
        <v/>
      </c>
      <c r="I113" s="8">
        <f>IF(A117="","",SUMIFS(Operatsiyalar!$J:$J,Operatsiyalar!$C:$C,A117,Operatsiyalar!$E:$E,"chiqim"))</f>
        <v/>
      </c>
      <c r="J113" s="8">
        <f>IF(A117="","",D117+H117-F117)</f>
        <v/>
      </c>
      <c r="K113" s="8">
        <f>IF(A117="","",E117+I117-G117)</f>
        <v/>
      </c>
    </row>
    <row r="114">
      <c r="A114" s="5" t="n"/>
      <c r="B114" s="5" t="n"/>
      <c r="C114" s="6" t="n"/>
      <c r="D114" s="8" t="n"/>
      <c r="E114" s="8" t="n"/>
      <c r="F114" s="8">
        <f>IF(A118="","",SUMIFS(Operatsiyalar!$I:$I,Operatsiyalar!$C:$C,A118,Operatsiyalar!$E:$E,"kirim"))</f>
        <v/>
      </c>
      <c r="G114" s="8">
        <f>IF(A118="","",SUMIFS(Operatsiyalar!$J:$J,Operatsiyalar!$C:$C,A118,Operatsiyalar!$E:$E,"kirim"))</f>
        <v/>
      </c>
      <c r="H114" s="8">
        <f>IF(A118="","",SUMIFS(Operatsiyalar!$I:$I,Operatsiyalar!$C:$C,A118,Operatsiyalar!$E:$E,"chiqim"))</f>
        <v/>
      </c>
      <c r="I114" s="8">
        <f>IF(A118="","",SUMIFS(Operatsiyalar!$J:$J,Operatsiyalar!$C:$C,A118,Operatsiyalar!$E:$E,"chiqim"))</f>
        <v/>
      </c>
      <c r="J114" s="8">
        <f>IF(A118="","",D118+H118-F118)</f>
        <v/>
      </c>
      <c r="K114" s="8">
        <f>IF(A118="","",E118+I118-G118)</f>
        <v/>
      </c>
    </row>
    <row r="115">
      <c r="A115" s="5" t="n"/>
      <c r="B115" s="5" t="n"/>
      <c r="C115" s="6" t="n"/>
      <c r="D115" s="8" t="n"/>
      <c r="E115" s="8" t="n"/>
      <c r="F115" s="8">
        <f>IF(A119="","",SUMIFS(Operatsiyalar!$I:$I,Operatsiyalar!$C:$C,A119,Operatsiyalar!$E:$E,"kirim"))</f>
        <v/>
      </c>
      <c r="G115" s="8">
        <f>IF(A119="","",SUMIFS(Operatsiyalar!$J:$J,Operatsiyalar!$C:$C,A119,Operatsiyalar!$E:$E,"kirim"))</f>
        <v/>
      </c>
      <c r="H115" s="8">
        <f>IF(A119="","",SUMIFS(Operatsiyalar!$I:$I,Operatsiyalar!$C:$C,A119,Operatsiyalar!$E:$E,"chiqim"))</f>
        <v/>
      </c>
      <c r="I115" s="8">
        <f>IF(A119="","",SUMIFS(Operatsiyalar!$J:$J,Operatsiyalar!$C:$C,A119,Operatsiyalar!$E:$E,"chiqim"))</f>
        <v/>
      </c>
      <c r="J115" s="8">
        <f>IF(A119="","",D119+H119-F119)</f>
        <v/>
      </c>
      <c r="K115" s="8">
        <f>IF(A119="","",E119+I119-G119)</f>
        <v/>
      </c>
    </row>
    <row r="116">
      <c r="A116" s="5" t="n"/>
      <c r="B116" s="5" t="n"/>
      <c r="C116" s="6" t="n"/>
      <c r="D116" s="8" t="n"/>
      <c r="E116" s="8" t="n"/>
      <c r="F116" s="8">
        <f>IF(A120="","",SUMIFS(Operatsiyalar!$I:$I,Operatsiyalar!$C:$C,A120,Operatsiyalar!$E:$E,"kirim"))</f>
        <v/>
      </c>
      <c r="G116" s="8">
        <f>IF(A120="","",SUMIFS(Operatsiyalar!$J:$J,Operatsiyalar!$C:$C,A120,Operatsiyalar!$E:$E,"kirim"))</f>
        <v/>
      </c>
      <c r="H116" s="8">
        <f>IF(A120="","",SUMIFS(Operatsiyalar!$I:$I,Operatsiyalar!$C:$C,A120,Operatsiyalar!$E:$E,"chiqim"))</f>
        <v/>
      </c>
      <c r="I116" s="8">
        <f>IF(A120="","",SUMIFS(Operatsiyalar!$J:$J,Operatsiyalar!$C:$C,A120,Operatsiyalar!$E:$E,"chiqim"))</f>
        <v/>
      </c>
      <c r="J116" s="8">
        <f>IF(A120="","",D120+H120-F120)</f>
        <v/>
      </c>
      <c r="K116" s="8">
        <f>IF(A120="","",E120+I120-G120)</f>
        <v/>
      </c>
    </row>
    <row r="117">
      <c r="A117" s="5" t="n"/>
      <c r="B117" s="5" t="n"/>
      <c r="C117" s="6" t="n"/>
      <c r="D117" s="8" t="n"/>
      <c r="E117" s="8" t="n"/>
      <c r="F117" s="8">
        <f>IF(A121="","",SUMIFS(Operatsiyalar!$I:$I,Operatsiyalar!$C:$C,A121,Operatsiyalar!$E:$E,"kirim"))</f>
        <v/>
      </c>
      <c r="G117" s="8">
        <f>IF(A121="","",SUMIFS(Operatsiyalar!$J:$J,Operatsiyalar!$C:$C,A121,Operatsiyalar!$E:$E,"kirim"))</f>
        <v/>
      </c>
      <c r="H117" s="8">
        <f>IF(A121="","",SUMIFS(Operatsiyalar!$I:$I,Operatsiyalar!$C:$C,A121,Operatsiyalar!$E:$E,"chiqim"))</f>
        <v/>
      </c>
      <c r="I117" s="8">
        <f>IF(A121="","",SUMIFS(Operatsiyalar!$J:$J,Operatsiyalar!$C:$C,A121,Operatsiyalar!$E:$E,"chiqim"))</f>
        <v/>
      </c>
      <c r="J117" s="8">
        <f>IF(A121="","",D121+H121-F121)</f>
        <v/>
      </c>
      <c r="K117" s="8">
        <f>IF(A121="","",E121+I121-G121)</f>
        <v/>
      </c>
    </row>
    <row r="118">
      <c r="A118" s="5" t="n"/>
      <c r="B118" s="5" t="n"/>
      <c r="C118" s="6" t="n"/>
      <c r="D118" s="8" t="n"/>
      <c r="E118" s="8" t="n"/>
      <c r="F118" s="8">
        <f>IF(A122="","",SUMIFS(Operatsiyalar!$I:$I,Operatsiyalar!$C:$C,A122,Operatsiyalar!$E:$E,"kirim"))</f>
        <v/>
      </c>
      <c r="G118" s="8">
        <f>IF(A122="","",SUMIFS(Operatsiyalar!$J:$J,Operatsiyalar!$C:$C,A122,Operatsiyalar!$E:$E,"kirim"))</f>
        <v/>
      </c>
      <c r="H118" s="8">
        <f>IF(A122="","",SUMIFS(Operatsiyalar!$I:$I,Operatsiyalar!$C:$C,A122,Operatsiyalar!$E:$E,"chiqim"))</f>
        <v/>
      </c>
      <c r="I118" s="8">
        <f>IF(A122="","",SUMIFS(Operatsiyalar!$J:$J,Operatsiyalar!$C:$C,A122,Operatsiyalar!$E:$E,"chiqim"))</f>
        <v/>
      </c>
      <c r="J118" s="8">
        <f>IF(A122="","",D122+H122-F122)</f>
        <v/>
      </c>
      <c r="K118" s="8">
        <f>IF(A122="","",E122+I122-G122)</f>
        <v/>
      </c>
    </row>
    <row r="119">
      <c r="A119" s="5" t="n"/>
      <c r="B119" s="5" t="n"/>
      <c r="C119" s="6" t="n"/>
      <c r="D119" s="8" t="n"/>
      <c r="E119" s="8" t="n"/>
      <c r="F119" s="8">
        <f>IF(A123="","",SUMIFS(Operatsiyalar!$I:$I,Operatsiyalar!$C:$C,A123,Operatsiyalar!$E:$E,"kirim"))</f>
        <v/>
      </c>
      <c r="G119" s="8">
        <f>IF(A123="","",SUMIFS(Operatsiyalar!$J:$J,Operatsiyalar!$C:$C,A123,Operatsiyalar!$E:$E,"kirim"))</f>
        <v/>
      </c>
      <c r="H119" s="8">
        <f>IF(A123="","",SUMIFS(Operatsiyalar!$I:$I,Operatsiyalar!$C:$C,A123,Operatsiyalar!$E:$E,"chiqim"))</f>
        <v/>
      </c>
      <c r="I119" s="8">
        <f>IF(A123="","",SUMIFS(Operatsiyalar!$J:$J,Operatsiyalar!$C:$C,A123,Operatsiyalar!$E:$E,"chiqim"))</f>
        <v/>
      </c>
      <c r="J119" s="8">
        <f>IF(A123="","",D123+H123-F123)</f>
        <v/>
      </c>
      <c r="K119" s="8">
        <f>IF(A123="","",E123+I123-G123)</f>
        <v/>
      </c>
    </row>
    <row r="120">
      <c r="A120" s="5" t="n"/>
      <c r="B120" s="5" t="n"/>
      <c r="C120" s="6" t="n"/>
      <c r="D120" s="8" t="n"/>
      <c r="E120" s="8" t="n"/>
      <c r="F120" s="8">
        <f>IF(A124="","",SUMIFS(Operatsiyalar!$I:$I,Operatsiyalar!$C:$C,A124,Operatsiyalar!$E:$E,"kirim"))</f>
        <v/>
      </c>
      <c r="G120" s="8">
        <f>IF(A124="","",SUMIFS(Operatsiyalar!$J:$J,Operatsiyalar!$C:$C,A124,Operatsiyalar!$E:$E,"kirim"))</f>
        <v/>
      </c>
      <c r="H120" s="8">
        <f>IF(A124="","",SUMIFS(Operatsiyalar!$I:$I,Operatsiyalar!$C:$C,A124,Operatsiyalar!$E:$E,"chiqim"))</f>
        <v/>
      </c>
      <c r="I120" s="8">
        <f>IF(A124="","",SUMIFS(Operatsiyalar!$J:$J,Operatsiyalar!$C:$C,A124,Operatsiyalar!$E:$E,"chiqim"))</f>
        <v/>
      </c>
      <c r="J120" s="8">
        <f>IF(A124="","",D124+H124-F124)</f>
        <v/>
      </c>
      <c r="K120" s="8">
        <f>IF(A124="","",E124+I124-G124)</f>
        <v/>
      </c>
    </row>
    <row r="121">
      <c r="A121" s="5" t="n"/>
      <c r="B121" s="5" t="n"/>
      <c r="C121" s="6" t="n"/>
      <c r="D121" s="8" t="n"/>
      <c r="E121" s="8" t="n"/>
      <c r="F121" s="8">
        <f>IF(A125="","",SUMIFS(Operatsiyalar!$I:$I,Operatsiyalar!$C:$C,A125,Operatsiyalar!$E:$E,"kirim"))</f>
        <v/>
      </c>
      <c r="G121" s="8">
        <f>IF(A125="","",SUMIFS(Operatsiyalar!$J:$J,Operatsiyalar!$C:$C,A125,Operatsiyalar!$E:$E,"kirim"))</f>
        <v/>
      </c>
      <c r="H121" s="8">
        <f>IF(A125="","",SUMIFS(Operatsiyalar!$I:$I,Operatsiyalar!$C:$C,A125,Operatsiyalar!$E:$E,"chiqim"))</f>
        <v/>
      </c>
      <c r="I121" s="8">
        <f>IF(A125="","",SUMIFS(Operatsiyalar!$J:$J,Operatsiyalar!$C:$C,A125,Operatsiyalar!$E:$E,"chiqim"))</f>
        <v/>
      </c>
      <c r="J121" s="8">
        <f>IF(A125="","",D125+H125-F125)</f>
        <v/>
      </c>
      <c r="K121" s="8">
        <f>IF(A125="","",E125+I125-G125)</f>
        <v/>
      </c>
    </row>
    <row r="122">
      <c r="A122" s="5" t="n"/>
      <c r="B122" s="5" t="n"/>
      <c r="C122" s="6" t="n"/>
      <c r="D122" s="8" t="n"/>
      <c r="E122" s="8" t="n"/>
      <c r="F122" s="8">
        <f>IF(A126="","",SUMIFS(Operatsiyalar!$I:$I,Operatsiyalar!$C:$C,A126,Operatsiyalar!$E:$E,"kirim"))</f>
        <v/>
      </c>
      <c r="G122" s="8">
        <f>IF(A126="","",SUMIFS(Operatsiyalar!$J:$J,Operatsiyalar!$C:$C,A126,Operatsiyalar!$E:$E,"kirim"))</f>
        <v/>
      </c>
      <c r="H122" s="8">
        <f>IF(A126="","",SUMIFS(Operatsiyalar!$I:$I,Operatsiyalar!$C:$C,A126,Operatsiyalar!$E:$E,"chiqim"))</f>
        <v/>
      </c>
      <c r="I122" s="8">
        <f>IF(A126="","",SUMIFS(Operatsiyalar!$J:$J,Operatsiyalar!$C:$C,A126,Operatsiyalar!$E:$E,"chiqim"))</f>
        <v/>
      </c>
      <c r="J122" s="8">
        <f>IF(A126="","",D126+H126-F126)</f>
        <v/>
      </c>
      <c r="K122" s="8">
        <f>IF(A126="","",E126+I126-G126)</f>
        <v/>
      </c>
    </row>
    <row r="123">
      <c r="A123" s="5" t="n"/>
      <c r="B123" s="5" t="n"/>
      <c r="C123" s="6" t="n"/>
      <c r="D123" s="8" t="n"/>
      <c r="E123" s="8" t="n"/>
      <c r="F123" s="8">
        <f>IF(A127="","",SUMIFS(Operatsiyalar!$I:$I,Operatsiyalar!$C:$C,A127,Operatsiyalar!$E:$E,"kirim"))</f>
        <v/>
      </c>
      <c r="G123" s="8">
        <f>IF(A127="","",SUMIFS(Operatsiyalar!$J:$J,Operatsiyalar!$C:$C,A127,Operatsiyalar!$E:$E,"kirim"))</f>
        <v/>
      </c>
      <c r="H123" s="8">
        <f>IF(A127="","",SUMIFS(Operatsiyalar!$I:$I,Operatsiyalar!$C:$C,A127,Operatsiyalar!$E:$E,"chiqim"))</f>
        <v/>
      </c>
      <c r="I123" s="8">
        <f>IF(A127="","",SUMIFS(Operatsiyalar!$J:$J,Operatsiyalar!$C:$C,A127,Operatsiyalar!$E:$E,"chiqim"))</f>
        <v/>
      </c>
      <c r="J123" s="8">
        <f>IF(A127="","",D127+H127-F127)</f>
        <v/>
      </c>
      <c r="K123" s="8">
        <f>IF(A127="","",E127+I127-G127)</f>
        <v/>
      </c>
    </row>
    <row r="124">
      <c r="A124" s="5" t="n"/>
      <c r="B124" s="5" t="n"/>
      <c r="C124" s="6" t="n"/>
      <c r="D124" s="8" t="n"/>
      <c r="E124" s="8" t="n"/>
      <c r="F124" s="8">
        <f>IF(A128="","",SUMIFS(Operatsiyalar!$I:$I,Operatsiyalar!$C:$C,A128,Operatsiyalar!$E:$E,"kirim"))</f>
        <v/>
      </c>
      <c r="G124" s="8">
        <f>IF(A128="","",SUMIFS(Operatsiyalar!$J:$J,Operatsiyalar!$C:$C,A128,Operatsiyalar!$E:$E,"kirim"))</f>
        <v/>
      </c>
      <c r="H124" s="8">
        <f>IF(A128="","",SUMIFS(Operatsiyalar!$I:$I,Operatsiyalar!$C:$C,A128,Operatsiyalar!$E:$E,"chiqim"))</f>
        <v/>
      </c>
      <c r="I124" s="8">
        <f>IF(A128="","",SUMIFS(Operatsiyalar!$J:$J,Operatsiyalar!$C:$C,A128,Operatsiyalar!$E:$E,"chiqim"))</f>
        <v/>
      </c>
      <c r="J124" s="8">
        <f>IF(A128="","",D128+H128-F128)</f>
        <v/>
      </c>
      <c r="K124" s="8">
        <f>IF(A128="","",E128+I128-G128)</f>
        <v/>
      </c>
    </row>
    <row r="125">
      <c r="A125" s="5" t="n"/>
      <c r="B125" s="5" t="n"/>
      <c r="C125" s="6" t="n"/>
      <c r="D125" s="8" t="n"/>
      <c r="E125" s="8" t="n"/>
      <c r="F125" s="8">
        <f>IF(A129="","",SUMIFS(Operatsiyalar!$I:$I,Operatsiyalar!$C:$C,A129,Operatsiyalar!$E:$E,"kirim"))</f>
        <v/>
      </c>
      <c r="G125" s="8">
        <f>IF(A129="","",SUMIFS(Operatsiyalar!$J:$J,Operatsiyalar!$C:$C,A129,Operatsiyalar!$E:$E,"kirim"))</f>
        <v/>
      </c>
      <c r="H125" s="8">
        <f>IF(A129="","",SUMIFS(Operatsiyalar!$I:$I,Operatsiyalar!$C:$C,A129,Operatsiyalar!$E:$E,"chiqim"))</f>
        <v/>
      </c>
      <c r="I125" s="8">
        <f>IF(A129="","",SUMIFS(Operatsiyalar!$J:$J,Operatsiyalar!$C:$C,A129,Operatsiyalar!$E:$E,"chiqim"))</f>
        <v/>
      </c>
      <c r="J125" s="8">
        <f>IF(A129="","",D129+H129-F129)</f>
        <v/>
      </c>
      <c r="K125" s="8">
        <f>IF(A129="","",E129+I129-G129)</f>
        <v/>
      </c>
    </row>
    <row r="126">
      <c r="A126" s="5" t="n"/>
      <c r="B126" s="5" t="n"/>
      <c r="C126" s="6" t="n"/>
      <c r="D126" s="8" t="n"/>
      <c r="E126" s="8" t="n"/>
      <c r="F126" s="8">
        <f>IF(A130="","",SUMIFS(Operatsiyalar!$I:$I,Operatsiyalar!$C:$C,A130,Operatsiyalar!$E:$E,"kirim"))</f>
        <v/>
      </c>
      <c r="G126" s="8">
        <f>IF(A130="","",SUMIFS(Operatsiyalar!$J:$J,Operatsiyalar!$C:$C,A130,Operatsiyalar!$E:$E,"kirim"))</f>
        <v/>
      </c>
      <c r="H126" s="8">
        <f>IF(A130="","",SUMIFS(Operatsiyalar!$I:$I,Operatsiyalar!$C:$C,A130,Operatsiyalar!$E:$E,"chiqim"))</f>
        <v/>
      </c>
      <c r="I126" s="8">
        <f>IF(A130="","",SUMIFS(Operatsiyalar!$J:$J,Operatsiyalar!$C:$C,A130,Operatsiyalar!$E:$E,"chiqim"))</f>
        <v/>
      </c>
      <c r="J126" s="8">
        <f>IF(A130="","",D130+H130-F130)</f>
        <v/>
      </c>
      <c r="K126" s="8">
        <f>IF(A130="","",E130+I130-G130)</f>
        <v/>
      </c>
    </row>
    <row r="127">
      <c r="A127" s="5" t="n"/>
      <c r="B127" s="5" t="n"/>
      <c r="C127" s="6" t="n"/>
      <c r="D127" s="8" t="n"/>
      <c r="E127" s="8" t="n"/>
      <c r="F127" s="8">
        <f>IF(A131="","",SUMIFS(Operatsiyalar!$I:$I,Operatsiyalar!$C:$C,A131,Operatsiyalar!$E:$E,"kirim"))</f>
        <v/>
      </c>
      <c r="G127" s="8">
        <f>IF(A131="","",SUMIFS(Operatsiyalar!$J:$J,Operatsiyalar!$C:$C,A131,Operatsiyalar!$E:$E,"kirim"))</f>
        <v/>
      </c>
      <c r="H127" s="8">
        <f>IF(A131="","",SUMIFS(Operatsiyalar!$I:$I,Operatsiyalar!$C:$C,A131,Operatsiyalar!$E:$E,"chiqim"))</f>
        <v/>
      </c>
      <c r="I127" s="8">
        <f>IF(A131="","",SUMIFS(Operatsiyalar!$J:$J,Operatsiyalar!$C:$C,A131,Operatsiyalar!$E:$E,"chiqim"))</f>
        <v/>
      </c>
      <c r="J127" s="8">
        <f>IF(A131="","",D131+H131-F131)</f>
        <v/>
      </c>
      <c r="K127" s="8">
        <f>IF(A131="","",E131+I131-G131)</f>
        <v/>
      </c>
    </row>
    <row r="128">
      <c r="A128" s="5" t="n"/>
      <c r="B128" s="5" t="n"/>
      <c r="C128" s="6" t="n"/>
      <c r="D128" s="8" t="n"/>
      <c r="E128" s="8" t="n"/>
      <c r="F128" s="8">
        <f>IF(A132="","",SUMIFS(Operatsiyalar!$I:$I,Operatsiyalar!$C:$C,A132,Operatsiyalar!$E:$E,"kirim"))</f>
        <v/>
      </c>
      <c r="G128" s="8">
        <f>IF(A132="","",SUMIFS(Operatsiyalar!$J:$J,Operatsiyalar!$C:$C,A132,Operatsiyalar!$E:$E,"kirim"))</f>
        <v/>
      </c>
      <c r="H128" s="8">
        <f>IF(A132="","",SUMIFS(Operatsiyalar!$I:$I,Operatsiyalar!$C:$C,A132,Operatsiyalar!$E:$E,"chiqim"))</f>
        <v/>
      </c>
      <c r="I128" s="8">
        <f>IF(A132="","",SUMIFS(Operatsiyalar!$J:$J,Operatsiyalar!$C:$C,A132,Operatsiyalar!$E:$E,"chiqim"))</f>
        <v/>
      </c>
      <c r="J128" s="8">
        <f>IF(A132="","",D132+H132-F132)</f>
        <v/>
      </c>
      <c r="K128" s="8">
        <f>IF(A132="","",E132+I132-G132)</f>
        <v/>
      </c>
    </row>
    <row r="129">
      <c r="A129" s="5" t="n"/>
      <c r="B129" s="5" t="n"/>
      <c r="C129" s="6" t="n"/>
      <c r="D129" s="8" t="n"/>
      <c r="E129" s="8" t="n"/>
      <c r="F129" s="8">
        <f>IF(A133="","",SUMIFS(Operatsiyalar!$I:$I,Operatsiyalar!$C:$C,A133,Operatsiyalar!$E:$E,"kirim"))</f>
        <v/>
      </c>
      <c r="G129" s="8">
        <f>IF(A133="","",SUMIFS(Operatsiyalar!$J:$J,Operatsiyalar!$C:$C,A133,Operatsiyalar!$E:$E,"kirim"))</f>
        <v/>
      </c>
      <c r="H129" s="8">
        <f>IF(A133="","",SUMIFS(Operatsiyalar!$I:$I,Operatsiyalar!$C:$C,A133,Operatsiyalar!$E:$E,"chiqim"))</f>
        <v/>
      </c>
      <c r="I129" s="8">
        <f>IF(A133="","",SUMIFS(Operatsiyalar!$J:$J,Operatsiyalar!$C:$C,A133,Operatsiyalar!$E:$E,"chiqim"))</f>
        <v/>
      </c>
      <c r="J129" s="8">
        <f>IF(A133="","",D133+H133-F133)</f>
        <v/>
      </c>
      <c r="K129" s="8">
        <f>IF(A133="","",E133+I133-G133)</f>
        <v/>
      </c>
    </row>
    <row r="130">
      <c r="A130" s="5" t="n"/>
      <c r="B130" s="5" t="n"/>
      <c r="C130" s="6" t="n"/>
      <c r="D130" s="8" t="n"/>
      <c r="E130" s="8" t="n"/>
      <c r="F130" s="8">
        <f>IF(A134="","",SUMIFS(Operatsiyalar!$I:$I,Operatsiyalar!$C:$C,A134,Operatsiyalar!$E:$E,"kirim"))</f>
        <v/>
      </c>
      <c r="G130" s="8">
        <f>IF(A134="","",SUMIFS(Operatsiyalar!$J:$J,Operatsiyalar!$C:$C,A134,Operatsiyalar!$E:$E,"kirim"))</f>
        <v/>
      </c>
      <c r="H130" s="8">
        <f>IF(A134="","",SUMIFS(Operatsiyalar!$I:$I,Operatsiyalar!$C:$C,A134,Operatsiyalar!$E:$E,"chiqim"))</f>
        <v/>
      </c>
      <c r="I130" s="8">
        <f>IF(A134="","",SUMIFS(Operatsiyalar!$J:$J,Operatsiyalar!$C:$C,A134,Operatsiyalar!$E:$E,"chiqim"))</f>
        <v/>
      </c>
      <c r="J130" s="8">
        <f>IF(A134="","",D134+H134-F134)</f>
        <v/>
      </c>
      <c r="K130" s="8">
        <f>IF(A134="","",E134+I134-G134)</f>
        <v/>
      </c>
    </row>
    <row r="131">
      <c r="A131" s="5" t="n"/>
      <c r="B131" s="5" t="n"/>
      <c r="C131" s="6" t="n"/>
      <c r="D131" s="8" t="n"/>
      <c r="E131" s="8" t="n"/>
      <c r="F131" s="8">
        <f>IF(A135="","",SUMIFS(Operatsiyalar!$I:$I,Operatsiyalar!$C:$C,A135,Operatsiyalar!$E:$E,"kirim"))</f>
        <v/>
      </c>
      <c r="G131" s="8">
        <f>IF(A135="","",SUMIFS(Operatsiyalar!$J:$J,Operatsiyalar!$C:$C,A135,Operatsiyalar!$E:$E,"kirim"))</f>
        <v/>
      </c>
      <c r="H131" s="8">
        <f>IF(A135="","",SUMIFS(Operatsiyalar!$I:$I,Operatsiyalar!$C:$C,A135,Operatsiyalar!$E:$E,"chiqim"))</f>
        <v/>
      </c>
      <c r="I131" s="8">
        <f>IF(A135="","",SUMIFS(Operatsiyalar!$J:$J,Operatsiyalar!$C:$C,A135,Operatsiyalar!$E:$E,"chiqim"))</f>
        <v/>
      </c>
      <c r="J131" s="8">
        <f>IF(A135="","",D135+H135-F135)</f>
        <v/>
      </c>
      <c r="K131" s="8">
        <f>IF(A135="","",E135+I135-G135)</f>
        <v/>
      </c>
    </row>
    <row r="132">
      <c r="A132" s="5" t="n"/>
      <c r="B132" s="5" t="n"/>
      <c r="C132" s="6" t="n"/>
      <c r="D132" s="8" t="n"/>
      <c r="E132" s="8" t="n"/>
      <c r="F132" s="8">
        <f>IF(A136="","",SUMIFS(Operatsiyalar!$I:$I,Operatsiyalar!$C:$C,A136,Operatsiyalar!$E:$E,"kirim"))</f>
        <v/>
      </c>
      <c r="G132" s="8">
        <f>IF(A136="","",SUMIFS(Operatsiyalar!$J:$J,Operatsiyalar!$C:$C,A136,Operatsiyalar!$E:$E,"kirim"))</f>
        <v/>
      </c>
      <c r="H132" s="8">
        <f>IF(A136="","",SUMIFS(Operatsiyalar!$I:$I,Operatsiyalar!$C:$C,A136,Operatsiyalar!$E:$E,"chiqim"))</f>
        <v/>
      </c>
      <c r="I132" s="8">
        <f>IF(A136="","",SUMIFS(Operatsiyalar!$J:$J,Operatsiyalar!$C:$C,A136,Operatsiyalar!$E:$E,"chiqim"))</f>
        <v/>
      </c>
      <c r="J132" s="8">
        <f>IF(A136="","",D136+H136-F136)</f>
        <v/>
      </c>
      <c r="K132" s="8">
        <f>IF(A136="","",E136+I136-G136)</f>
        <v/>
      </c>
    </row>
    <row r="133">
      <c r="A133" s="5" t="n"/>
      <c r="B133" s="5" t="n"/>
      <c r="C133" s="6" t="n"/>
      <c r="D133" s="8" t="n"/>
      <c r="E133" s="8" t="n"/>
      <c r="F133" s="8">
        <f>IF(A137="","",SUMIFS(Operatsiyalar!$I:$I,Operatsiyalar!$C:$C,A137,Operatsiyalar!$E:$E,"kirim"))</f>
        <v/>
      </c>
      <c r="G133" s="8">
        <f>IF(A137="","",SUMIFS(Operatsiyalar!$J:$J,Operatsiyalar!$C:$C,A137,Operatsiyalar!$E:$E,"kirim"))</f>
        <v/>
      </c>
      <c r="H133" s="8">
        <f>IF(A137="","",SUMIFS(Operatsiyalar!$I:$I,Operatsiyalar!$C:$C,A137,Operatsiyalar!$E:$E,"chiqim"))</f>
        <v/>
      </c>
      <c r="I133" s="8">
        <f>IF(A137="","",SUMIFS(Operatsiyalar!$J:$J,Operatsiyalar!$C:$C,A137,Operatsiyalar!$E:$E,"chiqim"))</f>
        <v/>
      </c>
      <c r="J133" s="8">
        <f>IF(A137="","",D137+H137-F137)</f>
        <v/>
      </c>
      <c r="K133" s="8">
        <f>IF(A137="","",E137+I137-G137)</f>
        <v/>
      </c>
    </row>
    <row r="134">
      <c r="A134" s="5" t="n"/>
      <c r="B134" s="5" t="n"/>
      <c r="C134" s="6" t="n"/>
      <c r="D134" s="8" t="n"/>
      <c r="E134" s="8" t="n"/>
      <c r="F134" s="8">
        <f>IF(A138="","",SUMIFS(Operatsiyalar!$I:$I,Operatsiyalar!$C:$C,A138,Operatsiyalar!$E:$E,"kirim"))</f>
        <v/>
      </c>
      <c r="G134" s="8">
        <f>IF(A138="","",SUMIFS(Operatsiyalar!$J:$J,Operatsiyalar!$C:$C,A138,Operatsiyalar!$E:$E,"kirim"))</f>
        <v/>
      </c>
      <c r="H134" s="8">
        <f>IF(A138="","",SUMIFS(Operatsiyalar!$I:$I,Operatsiyalar!$C:$C,A138,Operatsiyalar!$E:$E,"chiqim"))</f>
        <v/>
      </c>
      <c r="I134" s="8">
        <f>IF(A138="","",SUMIFS(Operatsiyalar!$J:$J,Operatsiyalar!$C:$C,A138,Operatsiyalar!$E:$E,"chiqim"))</f>
        <v/>
      </c>
      <c r="J134" s="8">
        <f>IF(A138="","",D138+H138-F138)</f>
        <v/>
      </c>
      <c r="K134" s="8">
        <f>IF(A138="","",E138+I138-G138)</f>
        <v/>
      </c>
    </row>
    <row r="135">
      <c r="A135" s="5" t="n"/>
      <c r="B135" s="5" t="n"/>
      <c r="C135" s="6" t="n"/>
      <c r="D135" s="8" t="n"/>
      <c r="E135" s="8" t="n"/>
      <c r="F135" s="8">
        <f>IF(A139="","",SUMIFS(Operatsiyalar!$I:$I,Operatsiyalar!$C:$C,A139,Operatsiyalar!$E:$E,"kirim"))</f>
        <v/>
      </c>
      <c r="G135" s="8">
        <f>IF(A139="","",SUMIFS(Operatsiyalar!$J:$J,Operatsiyalar!$C:$C,A139,Operatsiyalar!$E:$E,"kirim"))</f>
        <v/>
      </c>
      <c r="H135" s="8">
        <f>IF(A139="","",SUMIFS(Operatsiyalar!$I:$I,Operatsiyalar!$C:$C,A139,Operatsiyalar!$E:$E,"chiqim"))</f>
        <v/>
      </c>
      <c r="I135" s="8">
        <f>IF(A139="","",SUMIFS(Operatsiyalar!$J:$J,Operatsiyalar!$C:$C,A139,Operatsiyalar!$E:$E,"chiqim"))</f>
        <v/>
      </c>
      <c r="J135" s="8">
        <f>IF(A139="","",D139+H139-F139)</f>
        <v/>
      </c>
      <c r="K135" s="8">
        <f>IF(A139="","",E139+I139-G139)</f>
        <v/>
      </c>
    </row>
    <row r="136">
      <c r="A136" s="5" t="n"/>
      <c r="B136" s="5" t="n"/>
      <c r="C136" s="6" t="n"/>
      <c r="D136" s="8" t="n"/>
      <c r="E136" s="8" t="n"/>
      <c r="F136" s="8">
        <f>IF(A140="","",SUMIFS(Operatsiyalar!$I:$I,Operatsiyalar!$C:$C,A140,Operatsiyalar!$E:$E,"kirim"))</f>
        <v/>
      </c>
      <c r="G136" s="8">
        <f>IF(A140="","",SUMIFS(Operatsiyalar!$J:$J,Operatsiyalar!$C:$C,A140,Operatsiyalar!$E:$E,"kirim"))</f>
        <v/>
      </c>
      <c r="H136" s="8">
        <f>IF(A140="","",SUMIFS(Operatsiyalar!$I:$I,Operatsiyalar!$C:$C,A140,Operatsiyalar!$E:$E,"chiqim"))</f>
        <v/>
      </c>
      <c r="I136" s="8">
        <f>IF(A140="","",SUMIFS(Operatsiyalar!$J:$J,Operatsiyalar!$C:$C,A140,Operatsiyalar!$E:$E,"chiqim"))</f>
        <v/>
      </c>
      <c r="J136" s="8">
        <f>IF(A140="","",D140+H140-F140)</f>
        <v/>
      </c>
      <c r="K136" s="8">
        <f>IF(A140="","",E140+I140-G140)</f>
        <v/>
      </c>
    </row>
    <row r="137">
      <c r="A137" s="5" t="n"/>
      <c r="B137" s="5" t="n"/>
      <c r="C137" s="6" t="n"/>
      <c r="D137" s="8" t="n"/>
      <c r="E137" s="8" t="n"/>
      <c r="F137" s="8">
        <f>IF(A141="","",SUMIFS(Operatsiyalar!$I:$I,Operatsiyalar!$C:$C,A141,Operatsiyalar!$E:$E,"kirim"))</f>
        <v/>
      </c>
      <c r="G137" s="8">
        <f>IF(A141="","",SUMIFS(Operatsiyalar!$J:$J,Operatsiyalar!$C:$C,A141,Operatsiyalar!$E:$E,"kirim"))</f>
        <v/>
      </c>
      <c r="H137" s="8">
        <f>IF(A141="","",SUMIFS(Operatsiyalar!$I:$I,Operatsiyalar!$C:$C,A141,Operatsiyalar!$E:$E,"chiqim"))</f>
        <v/>
      </c>
      <c r="I137" s="8">
        <f>IF(A141="","",SUMIFS(Operatsiyalar!$J:$J,Operatsiyalar!$C:$C,A141,Operatsiyalar!$E:$E,"chiqim"))</f>
        <v/>
      </c>
      <c r="J137" s="8">
        <f>IF(A141="","",D141+H141-F141)</f>
        <v/>
      </c>
      <c r="K137" s="8">
        <f>IF(A141="","",E141+I141-G141)</f>
        <v/>
      </c>
    </row>
    <row r="138">
      <c r="A138" s="5" t="n"/>
      <c r="B138" s="5" t="n"/>
      <c r="C138" s="6" t="n"/>
      <c r="D138" s="8" t="n"/>
      <c r="E138" s="8" t="n"/>
      <c r="F138" s="8">
        <f>IF(A142="","",SUMIFS(Operatsiyalar!$I:$I,Operatsiyalar!$C:$C,A142,Operatsiyalar!$E:$E,"kirim"))</f>
        <v/>
      </c>
      <c r="G138" s="8">
        <f>IF(A142="","",SUMIFS(Operatsiyalar!$J:$J,Operatsiyalar!$C:$C,A142,Operatsiyalar!$E:$E,"kirim"))</f>
        <v/>
      </c>
      <c r="H138" s="8">
        <f>IF(A142="","",SUMIFS(Operatsiyalar!$I:$I,Operatsiyalar!$C:$C,A142,Operatsiyalar!$E:$E,"chiqim"))</f>
        <v/>
      </c>
      <c r="I138" s="8">
        <f>IF(A142="","",SUMIFS(Operatsiyalar!$J:$J,Operatsiyalar!$C:$C,A142,Operatsiyalar!$E:$E,"chiqim"))</f>
        <v/>
      </c>
      <c r="J138" s="8">
        <f>IF(A142="","",D142+H142-F142)</f>
        <v/>
      </c>
      <c r="K138" s="8">
        <f>IF(A142="","",E142+I142-G142)</f>
        <v/>
      </c>
    </row>
    <row r="139">
      <c r="A139" s="5" t="n"/>
      <c r="B139" s="5" t="n"/>
      <c r="C139" s="6" t="n"/>
      <c r="D139" s="8" t="n"/>
      <c r="E139" s="8" t="n"/>
      <c r="F139" s="8">
        <f>IF(A143="","",SUMIFS(Operatsiyalar!$I:$I,Operatsiyalar!$C:$C,A143,Operatsiyalar!$E:$E,"kirim"))</f>
        <v/>
      </c>
      <c r="G139" s="8">
        <f>IF(A143="","",SUMIFS(Operatsiyalar!$J:$J,Operatsiyalar!$C:$C,A143,Operatsiyalar!$E:$E,"kirim"))</f>
        <v/>
      </c>
      <c r="H139" s="8">
        <f>IF(A143="","",SUMIFS(Operatsiyalar!$I:$I,Operatsiyalar!$C:$C,A143,Operatsiyalar!$E:$E,"chiqim"))</f>
        <v/>
      </c>
      <c r="I139" s="8">
        <f>IF(A143="","",SUMIFS(Operatsiyalar!$J:$J,Operatsiyalar!$C:$C,A143,Operatsiyalar!$E:$E,"chiqim"))</f>
        <v/>
      </c>
      <c r="J139" s="8">
        <f>IF(A143="","",D143+H143-F143)</f>
        <v/>
      </c>
      <c r="K139" s="8">
        <f>IF(A143="","",E143+I143-G143)</f>
        <v/>
      </c>
    </row>
    <row r="140">
      <c r="A140" s="5" t="n"/>
      <c r="B140" s="5" t="n"/>
      <c r="C140" s="6" t="n"/>
      <c r="D140" s="8" t="n"/>
      <c r="E140" s="8" t="n"/>
      <c r="F140" s="8">
        <f>IF(A144="","",SUMIFS(Operatsiyalar!$I:$I,Operatsiyalar!$C:$C,A144,Operatsiyalar!$E:$E,"kirim"))</f>
        <v/>
      </c>
      <c r="G140" s="8">
        <f>IF(A144="","",SUMIFS(Operatsiyalar!$J:$J,Operatsiyalar!$C:$C,A144,Operatsiyalar!$E:$E,"kirim"))</f>
        <v/>
      </c>
      <c r="H140" s="8">
        <f>IF(A144="","",SUMIFS(Operatsiyalar!$I:$I,Operatsiyalar!$C:$C,A144,Operatsiyalar!$E:$E,"chiqim"))</f>
        <v/>
      </c>
      <c r="I140" s="8">
        <f>IF(A144="","",SUMIFS(Operatsiyalar!$J:$J,Operatsiyalar!$C:$C,A144,Operatsiyalar!$E:$E,"chiqim"))</f>
        <v/>
      </c>
      <c r="J140" s="8">
        <f>IF(A144="","",D144+H144-F144)</f>
        <v/>
      </c>
      <c r="K140" s="8">
        <f>IF(A144="","",E144+I144-G144)</f>
        <v/>
      </c>
    </row>
    <row r="141">
      <c r="A141" s="5" t="n"/>
      <c r="B141" s="5" t="n"/>
      <c r="C141" s="6" t="n"/>
      <c r="D141" s="8" t="n"/>
      <c r="E141" s="8" t="n"/>
      <c r="F141" s="8">
        <f>IF(A145="","",SUMIFS(Operatsiyalar!$I:$I,Operatsiyalar!$C:$C,A145,Operatsiyalar!$E:$E,"kirim"))</f>
        <v/>
      </c>
      <c r="G141" s="8">
        <f>IF(A145="","",SUMIFS(Operatsiyalar!$J:$J,Operatsiyalar!$C:$C,A145,Operatsiyalar!$E:$E,"kirim"))</f>
        <v/>
      </c>
      <c r="H141" s="8">
        <f>IF(A145="","",SUMIFS(Operatsiyalar!$I:$I,Operatsiyalar!$C:$C,A145,Operatsiyalar!$E:$E,"chiqim"))</f>
        <v/>
      </c>
      <c r="I141" s="8">
        <f>IF(A145="","",SUMIFS(Operatsiyalar!$J:$J,Operatsiyalar!$C:$C,A145,Operatsiyalar!$E:$E,"chiqim"))</f>
        <v/>
      </c>
      <c r="J141" s="8">
        <f>IF(A145="","",D145+H145-F145)</f>
        <v/>
      </c>
      <c r="K141" s="8">
        <f>IF(A145="","",E145+I145-G145)</f>
        <v/>
      </c>
    </row>
    <row r="142">
      <c r="A142" s="5" t="n"/>
      <c r="B142" s="5" t="n"/>
      <c r="C142" s="6" t="n"/>
      <c r="D142" s="8" t="n"/>
      <c r="E142" s="8" t="n"/>
      <c r="F142" s="8">
        <f>IF(A146="","",SUMIFS(Operatsiyalar!$I:$I,Operatsiyalar!$C:$C,A146,Operatsiyalar!$E:$E,"kirim"))</f>
        <v/>
      </c>
      <c r="G142" s="8">
        <f>IF(A146="","",SUMIFS(Operatsiyalar!$J:$J,Operatsiyalar!$C:$C,A146,Operatsiyalar!$E:$E,"kirim"))</f>
        <v/>
      </c>
      <c r="H142" s="8">
        <f>IF(A146="","",SUMIFS(Operatsiyalar!$I:$I,Operatsiyalar!$C:$C,A146,Operatsiyalar!$E:$E,"chiqim"))</f>
        <v/>
      </c>
      <c r="I142" s="8">
        <f>IF(A146="","",SUMIFS(Operatsiyalar!$J:$J,Operatsiyalar!$C:$C,A146,Operatsiyalar!$E:$E,"chiqim"))</f>
        <v/>
      </c>
      <c r="J142" s="8">
        <f>IF(A146="","",D146+H146-F146)</f>
        <v/>
      </c>
      <c r="K142" s="8">
        <f>IF(A146="","",E146+I146-G146)</f>
        <v/>
      </c>
    </row>
    <row r="143">
      <c r="A143" s="5" t="n"/>
      <c r="B143" s="5" t="n"/>
      <c r="C143" s="6" t="n"/>
      <c r="D143" s="8" t="n"/>
      <c r="E143" s="8" t="n"/>
      <c r="F143" s="8">
        <f>IF(A147="","",SUMIFS(Operatsiyalar!$I:$I,Operatsiyalar!$C:$C,A147,Operatsiyalar!$E:$E,"kirim"))</f>
        <v/>
      </c>
      <c r="G143" s="8">
        <f>IF(A147="","",SUMIFS(Operatsiyalar!$J:$J,Operatsiyalar!$C:$C,A147,Operatsiyalar!$E:$E,"kirim"))</f>
        <v/>
      </c>
      <c r="H143" s="8">
        <f>IF(A147="","",SUMIFS(Operatsiyalar!$I:$I,Operatsiyalar!$C:$C,A147,Operatsiyalar!$E:$E,"chiqim"))</f>
        <v/>
      </c>
      <c r="I143" s="8">
        <f>IF(A147="","",SUMIFS(Operatsiyalar!$J:$J,Operatsiyalar!$C:$C,A147,Operatsiyalar!$E:$E,"chiqim"))</f>
        <v/>
      </c>
      <c r="J143" s="8">
        <f>IF(A147="","",D147+H147-F147)</f>
        <v/>
      </c>
      <c r="K143" s="8">
        <f>IF(A147="","",E147+I147-G147)</f>
        <v/>
      </c>
    </row>
    <row r="144">
      <c r="A144" s="5" t="n"/>
      <c r="B144" s="5" t="n"/>
      <c r="C144" s="6" t="n"/>
      <c r="D144" s="8" t="n"/>
      <c r="E144" s="8" t="n"/>
      <c r="F144" s="8">
        <f>IF(A148="","",SUMIFS(Operatsiyalar!$I:$I,Operatsiyalar!$C:$C,A148,Operatsiyalar!$E:$E,"kirim"))</f>
        <v/>
      </c>
      <c r="G144" s="8">
        <f>IF(A148="","",SUMIFS(Operatsiyalar!$J:$J,Operatsiyalar!$C:$C,A148,Operatsiyalar!$E:$E,"kirim"))</f>
        <v/>
      </c>
      <c r="H144" s="8">
        <f>IF(A148="","",SUMIFS(Operatsiyalar!$I:$I,Operatsiyalar!$C:$C,A148,Operatsiyalar!$E:$E,"chiqim"))</f>
        <v/>
      </c>
      <c r="I144" s="8">
        <f>IF(A148="","",SUMIFS(Operatsiyalar!$J:$J,Operatsiyalar!$C:$C,A148,Operatsiyalar!$E:$E,"chiqim"))</f>
        <v/>
      </c>
      <c r="J144" s="8">
        <f>IF(A148="","",D148+H148-F148)</f>
        <v/>
      </c>
      <c r="K144" s="8">
        <f>IF(A148="","",E148+I148-G148)</f>
        <v/>
      </c>
    </row>
    <row r="145">
      <c r="A145" s="5" t="n"/>
      <c r="B145" s="5" t="n"/>
      <c r="C145" s="6" t="n"/>
      <c r="D145" s="8" t="n"/>
      <c r="E145" s="8" t="n"/>
      <c r="F145" s="8">
        <f>IF(A149="","",SUMIFS(Operatsiyalar!$I:$I,Operatsiyalar!$C:$C,A149,Operatsiyalar!$E:$E,"kirim"))</f>
        <v/>
      </c>
      <c r="G145" s="8">
        <f>IF(A149="","",SUMIFS(Operatsiyalar!$J:$J,Operatsiyalar!$C:$C,A149,Operatsiyalar!$E:$E,"kirim"))</f>
        <v/>
      </c>
      <c r="H145" s="8">
        <f>IF(A149="","",SUMIFS(Operatsiyalar!$I:$I,Operatsiyalar!$C:$C,A149,Operatsiyalar!$E:$E,"chiqim"))</f>
        <v/>
      </c>
      <c r="I145" s="8">
        <f>IF(A149="","",SUMIFS(Operatsiyalar!$J:$J,Operatsiyalar!$C:$C,A149,Operatsiyalar!$E:$E,"chiqim"))</f>
        <v/>
      </c>
      <c r="J145" s="8">
        <f>IF(A149="","",D149+H149-F149)</f>
        <v/>
      </c>
      <c r="K145" s="8">
        <f>IF(A149="","",E149+I149-G149)</f>
        <v/>
      </c>
    </row>
    <row r="146">
      <c r="A146" s="5" t="n"/>
      <c r="B146" s="5" t="n"/>
      <c r="C146" s="6" t="n"/>
      <c r="D146" s="8" t="n"/>
      <c r="E146" s="8" t="n"/>
      <c r="F146" s="8">
        <f>IF(A150="","",SUMIFS(Operatsiyalar!$I:$I,Operatsiyalar!$C:$C,A150,Operatsiyalar!$E:$E,"kirim"))</f>
        <v/>
      </c>
      <c r="G146" s="8">
        <f>IF(A150="","",SUMIFS(Operatsiyalar!$J:$J,Operatsiyalar!$C:$C,A150,Operatsiyalar!$E:$E,"kirim"))</f>
        <v/>
      </c>
      <c r="H146" s="8">
        <f>IF(A150="","",SUMIFS(Operatsiyalar!$I:$I,Operatsiyalar!$C:$C,A150,Operatsiyalar!$E:$E,"chiqim"))</f>
        <v/>
      </c>
      <c r="I146" s="8">
        <f>IF(A150="","",SUMIFS(Operatsiyalar!$J:$J,Operatsiyalar!$C:$C,A150,Operatsiyalar!$E:$E,"chiqim"))</f>
        <v/>
      </c>
      <c r="J146" s="8">
        <f>IF(A150="","",D150+H150-F150)</f>
        <v/>
      </c>
      <c r="K146" s="8">
        <f>IF(A150="","",E150+I150-G150)</f>
        <v/>
      </c>
    </row>
    <row r="147">
      <c r="A147" s="5" t="n"/>
      <c r="B147" s="5" t="n"/>
      <c r="C147" s="6" t="n"/>
      <c r="D147" s="8" t="n"/>
      <c r="E147" s="8" t="n"/>
      <c r="F147" s="8">
        <f>IF(A151="","",SUMIFS(Operatsiyalar!$I:$I,Operatsiyalar!$C:$C,A151,Operatsiyalar!$E:$E,"kirim"))</f>
        <v/>
      </c>
      <c r="G147" s="8">
        <f>IF(A151="","",SUMIFS(Operatsiyalar!$J:$J,Operatsiyalar!$C:$C,A151,Operatsiyalar!$E:$E,"kirim"))</f>
        <v/>
      </c>
      <c r="H147" s="8">
        <f>IF(A151="","",SUMIFS(Operatsiyalar!$I:$I,Operatsiyalar!$C:$C,A151,Operatsiyalar!$E:$E,"chiqim"))</f>
        <v/>
      </c>
      <c r="I147" s="8">
        <f>IF(A151="","",SUMIFS(Operatsiyalar!$J:$J,Operatsiyalar!$C:$C,A151,Operatsiyalar!$E:$E,"chiqim"))</f>
        <v/>
      </c>
      <c r="J147" s="8">
        <f>IF(A151="","",D151+H151-F151)</f>
        <v/>
      </c>
      <c r="K147" s="8">
        <f>IF(A151="","",E151+I151-G151)</f>
        <v/>
      </c>
    </row>
    <row r="148">
      <c r="A148" s="5" t="n"/>
      <c r="B148" s="5" t="n"/>
      <c r="C148" s="6" t="n"/>
      <c r="D148" s="8" t="n"/>
      <c r="E148" s="8" t="n"/>
      <c r="F148" s="8">
        <f>IF(A152="","",SUMIFS(Operatsiyalar!$I:$I,Operatsiyalar!$C:$C,A152,Operatsiyalar!$E:$E,"kirim"))</f>
        <v/>
      </c>
      <c r="G148" s="8">
        <f>IF(A152="","",SUMIFS(Operatsiyalar!$J:$J,Operatsiyalar!$C:$C,A152,Operatsiyalar!$E:$E,"kirim"))</f>
        <v/>
      </c>
      <c r="H148" s="8">
        <f>IF(A152="","",SUMIFS(Operatsiyalar!$I:$I,Operatsiyalar!$C:$C,A152,Operatsiyalar!$E:$E,"chiqim"))</f>
        <v/>
      </c>
      <c r="I148" s="8">
        <f>IF(A152="","",SUMIFS(Operatsiyalar!$J:$J,Operatsiyalar!$C:$C,A152,Operatsiyalar!$E:$E,"chiqim"))</f>
        <v/>
      </c>
      <c r="J148" s="8">
        <f>IF(A152="","",D152+H152-F152)</f>
        <v/>
      </c>
      <c r="K148" s="8">
        <f>IF(A152="","",E152+I152-G152)</f>
        <v/>
      </c>
    </row>
    <row r="149">
      <c r="A149" s="5" t="n"/>
      <c r="B149" s="5" t="n"/>
      <c r="C149" s="6" t="n"/>
      <c r="D149" s="8" t="n"/>
      <c r="E149" s="8" t="n"/>
      <c r="F149" s="8">
        <f>IF(A153="","",SUMIFS(Operatsiyalar!$I:$I,Operatsiyalar!$C:$C,A153,Operatsiyalar!$E:$E,"kirim"))</f>
        <v/>
      </c>
      <c r="G149" s="8">
        <f>IF(A153="","",SUMIFS(Operatsiyalar!$J:$J,Operatsiyalar!$C:$C,A153,Operatsiyalar!$E:$E,"kirim"))</f>
        <v/>
      </c>
      <c r="H149" s="8">
        <f>IF(A153="","",SUMIFS(Operatsiyalar!$I:$I,Operatsiyalar!$C:$C,A153,Operatsiyalar!$E:$E,"chiqim"))</f>
        <v/>
      </c>
      <c r="I149" s="8">
        <f>IF(A153="","",SUMIFS(Operatsiyalar!$J:$J,Operatsiyalar!$C:$C,A153,Operatsiyalar!$E:$E,"chiqim"))</f>
        <v/>
      </c>
      <c r="J149" s="8">
        <f>IF(A153="","",D153+H153-F153)</f>
        <v/>
      </c>
      <c r="K149" s="8">
        <f>IF(A153="","",E153+I153-G153)</f>
        <v/>
      </c>
    </row>
    <row r="150">
      <c r="A150" s="5" t="n"/>
      <c r="B150" s="5" t="n"/>
      <c r="C150" s="6" t="n"/>
      <c r="D150" s="8" t="n"/>
      <c r="E150" s="8" t="n"/>
      <c r="F150" s="8">
        <f>IF(A154="","",SUMIFS(Operatsiyalar!$I:$I,Operatsiyalar!$C:$C,A154,Operatsiyalar!$E:$E,"kirim"))</f>
        <v/>
      </c>
      <c r="G150" s="8">
        <f>IF(A154="","",SUMIFS(Operatsiyalar!$J:$J,Operatsiyalar!$C:$C,A154,Operatsiyalar!$E:$E,"kirim"))</f>
        <v/>
      </c>
      <c r="H150" s="8">
        <f>IF(A154="","",SUMIFS(Operatsiyalar!$I:$I,Operatsiyalar!$C:$C,A154,Operatsiyalar!$E:$E,"chiqim"))</f>
        <v/>
      </c>
      <c r="I150" s="8">
        <f>IF(A154="","",SUMIFS(Operatsiyalar!$J:$J,Operatsiyalar!$C:$C,A154,Operatsiyalar!$E:$E,"chiqim"))</f>
        <v/>
      </c>
      <c r="J150" s="8">
        <f>IF(A154="","",D154+H154-F154)</f>
        <v/>
      </c>
      <c r="K150" s="8">
        <f>IF(A154="","",E154+I154-G154)</f>
        <v/>
      </c>
    </row>
    <row r="151">
      <c r="A151" s="5" t="n"/>
      <c r="B151" s="5" t="n"/>
      <c r="C151" s="6" t="n"/>
      <c r="D151" s="8" t="n"/>
      <c r="E151" s="8" t="n"/>
      <c r="F151" s="8">
        <f>IF(A155="","",SUMIFS(Operatsiyalar!$I:$I,Operatsiyalar!$C:$C,A155,Operatsiyalar!$E:$E,"kirim"))</f>
        <v/>
      </c>
      <c r="G151" s="8">
        <f>IF(A155="","",SUMIFS(Operatsiyalar!$J:$J,Operatsiyalar!$C:$C,A155,Operatsiyalar!$E:$E,"kirim"))</f>
        <v/>
      </c>
      <c r="H151" s="8">
        <f>IF(A155="","",SUMIFS(Operatsiyalar!$I:$I,Operatsiyalar!$C:$C,A155,Operatsiyalar!$E:$E,"chiqim"))</f>
        <v/>
      </c>
      <c r="I151" s="8">
        <f>IF(A155="","",SUMIFS(Operatsiyalar!$J:$J,Operatsiyalar!$C:$C,A155,Operatsiyalar!$E:$E,"chiqim"))</f>
        <v/>
      </c>
      <c r="J151" s="8">
        <f>IF(A155="","",D155+H155-F155)</f>
        <v/>
      </c>
      <c r="K151" s="8">
        <f>IF(A155="","",E155+I155-G155)</f>
        <v/>
      </c>
    </row>
    <row r="152">
      <c r="A152" s="5" t="n"/>
      <c r="B152" s="5" t="n"/>
      <c r="C152" s="6" t="n"/>
      <c r="D152" s="8" t="n"/>
      <c r="E152" s="8" t="n"/>
      <c r="F152" s="8">
        <f>IF(A156="","",SUMIFS(Operatsiyalar!$I:$I,Operatsiyalar!$C:$C,A156,Operatsiyalar!$E:$E,"kirim"))</f>
        <v/>
      </c>
      <c r="G152" s="8">
        <f>IF(A156="","",SUMIFS(Operatsiyalar!$J:$J,Operatsiyalar!$C:$C,A156,Operatsiyalar!$E:$E,"kirim"))</f>
        <v/>
      </c>
      <c r="H152" s="8">
        <f>IF(A156="","",SUMIFS(Operatsiyalar!$I:$I,Operatsiyalar!$C:$C,A156,Operatsiyalar!$E:$E,"chiqim"))</f>
        <v/>
      </c>
      <c r="I152" s="8">
        <f>IF(A156="","",SUMIFS(Operatsiyalar!$J:$J,Operatsiyalar!$C:$C,A156,Operatsiyalar!$E:$E,"chiqim"))</f>
        <v/>
      </c>
      <c r="J152" s="8">
        <f>IF(A156="","",D156+H156-F156)</f>
        <v/>
      </c>
      <c r="K152" s="8">
        <f>IF(A156="","",E156+I156-G156)</f>
        <v/>
      </c>
    </row>
    <row r="153">
      <c r="A153" s="5" t="n"/>
      <c r="B153" s="5" t="n"/>
      <c r="C153" s="6" t="n"/>
      <c r="D153" s="8" t="n"/>
      <c r="E153" s="8" t="n"/>
      <c r="F153" s="8">
        <f>IF(A157="","",SUMIFS(Operatsiyalar!$I:$I,Operatsiyalar!$C:$C,A157,Operatsiyalar!$E:$E,"kirim"))</f>
        <v/>
      </c>
      <c r="G153" s="8">
        <f>IF(A157="","",SUMIFS(Operatsiyalar!$J:$J,Operatsiyalar!$C:$C,A157,Operatsiyalar!$E:$E,"kirim"))</f>
        <v/>
      </c>
      <c r="H153" s="8">
        <f>IF(A157="","",SUMIFS(Operatsiyalar!$I:$I,Operatsiyalar!$C:$C,A157,Operatsiyalar!$E:$E,"chiqim"))</f>
        <v/>
      </c>
      <c r="I153" s="8">
        <f>IF(A157="","",SUMIFS(Operatsiyalar!$J:$J,Operatsiyalar!$C:$C,A157,Operatsiyalar!$E:$E,"chiqim"))</f>
        <v/>
      </c>
      <c r="J153" s="8">
        <f>IF(A157="","",D157+H157-F157)</f>
        <v/>
      </c>
      <c r="K153" s="8">
        <f>IF(A157="","",E157+I157-G157)</f>
        <v/>
      </c>
    </row>
    <row r="154">
      <c r="A154" s="5" t="n"/>
      <c r="B154" s="5" t="n"/>
      <c r="C154" s="6" t="n"/>
      <c r="D154" s="8" t="n"/>
      <c r="E154" s="8" t="n"/>
      <c r="F154" s="8">
        <f>IF(A158="","",SUMIFS(Operatsiyalar!$I:$I,Operatsiyalar!$C:$C,A158,Operatsiyalar!$E:$E,"kirim"))</f>
        <v/>
      </c>
      <c r="G154" s="8">
        <f>IF(A158="","",SUMIFS(Operatsiyalar!$J:$J,Operatsiyalar!$C:$C,A158,Operatsiyalar!$E:$E,"kirim"))</f>
        <v/>
      </c>
      <c r="H154" s="8">
        <f>IF(A158="","",SUMIFS(Operatsiyalar!$I:$I,Operatsiyalar!$C:$C,A158,Operatsiyalar!$E:$E,"chiqim"))</f>
        <v/>
      </c>
      <c r="I154" s="8">
        <f>IF(A158="","",SUMIFS(Operatsiyalar!$J:$J,Operatsiyalar!$C:$C,A158,Operatsiyalar!$E:$E,"chiqim"))</f>
        <v/>
      </c>
      <c r="J154" s="8">
        <f>IF(A158="","",D158+H158-F158)</f>
        <v/>
      </c>
      <c r="K154" s="8">
        <f>IF(A158="","",E158+I158-G158)</f>
        <v/>
      </c>
    </row>
    <row r="155">
      <c r="A155" s="5" t="n"/>
      <c r="B155" s="5" t="n"/>
      <c r="C155" s="6" t="n"/>
      <c r="D155" s="8" t="n"/>
      <c r="E155" s="8" t="n"/>
      <c r="F155" s="8">
        <f>IF(A159="","",SUMIFS(Operatsiyalar!$I:$I,Operatsiyalar!$C:$C,A159,Operatsiyalar!$E:$E,"kirim"))</f>
        <v/>
      </c>
      <c r="G155" s="8">
        <f>IF(A159="","",SUMIFS(Operatsiyalar!$J:$J,Operatsiyalar!$C:$C,A159,Operatsiyalar!$E:$E,"kirim"))</f>
        <v/>
      </c>
      <c r="H155" s="8">
        <f>IF(A159="","",SUMIFS(Operatsiyalar!$I:$I,Operatsiyalar!$C:$C,A159,Operatsiyalar!$E:$E,"chiqim"))</f>
        <v/>
      </c>
      <c r="I155" s="8">
        <f>IF(A159="","",SUMIFS(Operatsiyalar!$J:$J,Operatsiyalar!$C:$C,A159,Operatsiyalar!$E:$E,"chiqim"))</f>
        <v/>
      </c>
      <c r="J155" s="8">
        <f>IF(A159="","",D159+H159-F159)</f>
        <v/>
      </c>
      <c r="K155" s="8">
        <f>IF(A159="","",E159+I159-G159)</f>
        <v/>
      </c>
    </row>
    <row r="156">
      <c r="A156" s="5" t="n"/>
      <c r="B156" s="5" t="n"/>
      <c r="C156" s="6" t="n"/>
      <c r="D156" s="8" t="n"/>
      <c r="E156" s="8" t="n"/>
      <c r="F156" s="8">
        <f>IF(A160="","",SUMIFS(Operatsiyalar!$I:$I,Operatsiyalar!$C:$C,A160,Operatsiyalar!$E:$E,"kirim"))</f>
        <v/>
      </c>
      <c r="G156" s="8">
        <f>IF(A160="","",SUMIFS(Operatsiyalar!$J:$J,Operatsiyalar!$C:$C,A160,Operatsiyalar!$E:$E,"kirim"))</f>
        <v/>
      </c>
      <c r="H156" s="8">
        <f>IF(A160="","",SUMIFS(Operatsiyalar!$I:$I,Operatsiyalar!$C:$C,A160,Operatsiyalar!$E:$E,"chiqim"))</f>
        <v/>
      </c>
      <c r="I156" s="8">
        <f>IF(A160="","",SUMIFS(Operatsiyalar!$J:$J,Operatsiyalar!$C:$C,A160,Operatsiyalar!$E:$E,"chiqim"))</f>
        <v/>
      </c>
      <c r="J156" s="8">
        <f>IF(A160="","",D160+H160-F160)</f>
        <v/>
      </c>
      <c r="K156" s="8">
        <f>IF(A160="","",E160+I160-G160)</f>
        <v/>
      </c>
    </row>
    <row r="157">
      <c r="A157" s="5" t="n"/>
      <c r="B157" s="5" t="n"/>
      <c r="C157" s="6" t="n"/>
      <c r="D157" s="8" t="n"/>
      <c r="E157" s="8" t="n"/>
      <c r="F157" s="8">
        <f>IF(A161="","",SUMIFS(Operatsiyalar!$I:$I,Operatsiyalar!$C:$C,A161,Operatsiyalar!$E:$E,"kirim"))</f>
        <v/>
      </c>
      <c r="G157" s="8">
        <f>IF(A161="","",SUMIFS(Operatsiyalar!$J:$J,Operatsiyalar!$C:$C,A161,Operatsiyalar!$E:$E,"kirim"))</f>
        <v/>
      </c>
      <c r="H157" s="8">
        <f>IF(A161="","",SUMIFS(Operatsiyalar!$I:$I,Operatsiyalar!$C:$C,A161,Operatsiyalar!$E:$E,"chiqim"))</f>
        <v/>
      </c>
      <c r="I157" s="8">
        <f>IF(A161="","",SUMIFS(Operatsiyalar!$J:$J,Operatsiyalar!$C:$C,A161,Operatsiyalar!$E:$E,"chiqim"))</f>
        <v/>
      </c>
      <c r="J157" s="8">
        <f>IF(A161="","",D161+H161-F161)</f>
        <v/>
      </c>
      <c r="K157" s="8">
        <f>IF(A161="","",E161+I161-G161)</f>
        <v/>
      </c>
    </row>
    <row r="158">
      <c r="A158" s="5" t="n"/>
      <c r="B158" s="5" t="n"/>
      <c r="C158" s="6" t="n"/>
      <c r="D158" s="8" t="n"/>
      <c r="E158" s="8" t="n"/>
      <c r="F158" s="8">
        <f>IF(A162="","",SUMIFS(Operatsiyalar!$I:$I,Operatsiyalar!$C:$C,A162,Operatsiyalar!$E:$E,"kirim"))</f>
        <v/>
      </c>
      <c r="G158" s="8">
        <f>IF(A162="","",SUMIFS(Operatsiyalar!$J:$J,Operatsiyalar!$C:$C,A162,Operatsiyalar!$E:$E,"kirim"))</f>
        <v/>
      </c>
      <c r="H158" s="8">
        <f>IF(A162="","",SUMIFS(Operatsiyalar!$I:$I,Operatsiyalar!$C:$C,A162,Operatsiyalar!$E:$E,"chiqim"))</f>
        <v/>
      </c>
      <c r="I158" s="8">
        <f>IF(A162="","",SUMIFS(Operatsiyalar!$J:$J,Operatsiyalar!$C:$C,A162,Operatsiyalar!$E:$E,"chiqim"))</f>
        <v/>
      </c>
      <c r="J158" s="8">
        <f>IF(A162="","",D162+H162-F162)</f>
        <v/>
      </c>
      <c r="K158" s="8">
        <f>IF(A162="","",E162+I162-G162)</f>
        <v/>
      </c>
    </row>
    <row r="159">
      <c r="A159" s="5" t="n"/>
      <c r="B159" s="5" t="n"/>
      <c r="C159" s="6" t="n"/>
      <c r="D159" s="8" t="n"/>
      <c r="E159" s="8" t="n"/>
      <c r="F159" s="8">
        <f>IF(A163="","",SUMIFS(Operatsiyalar!$I:$I,Operatsiyalar!$C:$C,A163,Operatsiyalar!$E:$E,"kirim"))</f>
        <v/>
      </c>
      <c r="G159" s="8">
        <f>IF(A163="","",SUMIFS(Operatsiyalar!$J:$J,Operatsiyalar!$C:$C,A163,Operatsiyalar!$E:$E,"kirim"))</f>
        <v/>
      </c>
      <c r="H159" s="8">
        <f>IF(A163="","",SUMIFS(Operatsiyalar!$I:$I,Operatsiyalar!$C:$C,A163,Operatsiyalar!$E:$E,"chiqim"))</f>
        <v/>
      </c>
      <c r="I159" s="8">
        <f>IF(A163="","",SUMIFS(Operatsiyalar!$J:$J,Operatsiyalar!$C:$C,A163,Operatsiyalar!$E:$E,"chiqim"))</f>
        <v/>
      </c>
      <c r="J159" s="8">
        <f>IF(A163="","",D163+H163-F163)</f>
        <v/>
      </c>
      <c r="K159" s="8">
        <f>IF(A163="","",E163+I163-G163)</f>
        <v/>
      </c>
    </row>
    <row r="160">
      <c r="A160" s="5" t="n"/>
      <c r="B160" s="5" t="n"/>
      <c r="C160" s="6" t="n"/>
      <c r="D160" s="8" t="n"/>
      <c r="E160" s="8" t="n"/>
      <c r="F160" s="8">
        <f>IF(A164="","",SUMIFS(Operatsiyalar!$I:$I,Operatsiyalar!$C:$C,A164,Operatsiyalar!$E:$E,"kirim"))</f>
        <v/>
      </c>
      <c r="G160" s="8">
        <f>IF(A164="","",SUMIFS(Operatsiyalar!$J:$J,Operatsiyalar!$C:$C,A164,Operatsiyalar!$E:$E,"kirim"))</f>
        <v/>
      </c>
      <c r="H160" s="8">
        <f>IF(A164="","",SUMIFS(Operatsiyalar!$I:$I,Operatsiyalar!$C:$C,A164,Operatsiyalar!$E:$E,"chiqim"))</f>
        <v/>
      </c>
      <c r="I160" s="8">
        <f>IF(A164="","",SUMIFS(Operatsiyalar!$J:$J,Operatsiyalar!$C:$C,A164,Operatsiyalar!$E:$E,"chiqim"))</f>
        <v/>
      </c>
      <c r="J160" s="8">
        <f>IF(A164="","",D164+H164-F164)</f>
        <v/>
      </c>
      <c r="K160" s="8">
        <f>IF(A164="","",E164+I164-G164)</f>
        <v/>
      </c>
    </row>
    <row r="161">
      <c r="A161" s="5" t="n"/>
      <c r="B161" s="5" t="n"/>
      <c r="C161" s="6" t="n"/>
      <c r="D161" s="8" t="n"/>
      <c r="E161" s="8" t="n"/>
      <c r="F161" s="8">
        <f>IF(A165="","",SUMIFS(Operatsiyalar!$I:$I,Operatsiyalar!$C:$C,A165,Operatsiyalar!$E:$E,"kirim"))</f>
        <v/>
      </c>
      <c r="G161" s="8">
        <f>IF(A165="","",SUMIFS(Operatsiyalar!$J:$J,Operatsiyalar!$C:$C,A165,Operatsiyalar!$E:$E,"kirim"))</f>
        <v/>
      </c>
      <c r="H161" s="8">
        <f>IF(A165="","",SUMIFS(Operatsiyalar!$I:$I,Operatsiyalar!$C:$C,A165,Operatsiyalar!$E:$E,"chiqim"))</f>
        <v/>
      </c>
      <c r="I161" s="8">
        <f>IF(A165="","",SUMIFS(Operatsiyalar!$J:$J,Operatsiyalar!$C:$C,A165,Operatsiyalar!$E:$E,"chiqim"))</f>
        <v/>
      </c>
      <c r="J161" s="8">
        <f>IF(A165="","",D165+H165-F165)</f>
        <v/>
      </c>
      <c r="K161" s="8">
        <f>IF(A165="","",E165+I165-G165)</f>
        <v/>
      </c>
    </row>
    <row r="162">
      <c r="A162" s="5" t="n"/>
      <c r="B162" s="5" t="n"/>
      <c r="C162" s="6" t="n"/>
      <c r="D162" s="8" t="n"/>
      <c r="E162" s="8" t="n"/>
      <c r="F162" s="8">
        <f>IF(A166="","",SUMIFS(Operatsiyalar!$I:$I,Operatsiyalar!$C:$C,A166,Operatsiyalar!$E:$E,"kirim"))</f>
        <v/>
      </c>
      <c r="G162" s="8">
        <f>IF(A166="","",SUMIFS(Operatsiyalar!$J:$J,Operatsiyalar!$C:$C,A166,Operatsiyalar!$E:$E,"kirim"))</f>
        <v/>
      </c>
      <c r="H162" s="8">
        <f>IF(A166="","",SUMIFS(Operatsiyalar!$I:$I,Operatsiyalar!$C:$C,A166,Operatsiyalar!$E:$E,"chiqim"))</f>
        <v/>
      </c>
      <c r="I162" s="8">
        <f>IF(A166="","",SUMIFS(Operatsiyalar!$J:$J,Operatsiyalar!$C:$C,A166,Operatsiyalar!$E:$E,"chiqim"))</f>
        <v/>
      </c>
      <c r="J162" s="8">
        <f>IF(A166="","",D166+H166-F166)</f>
        <v/>
      </c>
      <c r="K162" s="8">
        <f>IF(A166="","",E166+I166-G166)</f>
        <v/>
      </c>
    </row>
    <row r="163">
      <c r="A163" s="5" t="n"/>
      <c r="B163" s="5" t="n"/>
      <c r="C163" s="6" t="n"/>
      <c r="D163" s="8" t="n"/>
      <c r="E163" s="8" t="n"/>
      <c r="F163" s="8">
        <f>IF(A167="","",SUMIFS(Operatsiyalar!$I:$I,Operatsiyalar!$C:$C,A167,Operatsiyalar!$E:$E,"kirim"))</f>
        <v/>
      </c>
      <c r="G163" s="8">
        <f>IF(A167="","",SUMIFS(Operatsiyalar!$J:$J,Operatsiyalar!$C:$C,A167,Operatsiyalar!$E:$E,"kirim"))</f>
        <v/>
      </c>
      <c r="H163" s="8">
        <f>IF(A167="","",SUMIFS(Operatsiyalar!$I:$I,Operatsiyalar!$C:$C,A167,Operatsiyalar!$E:$E,"chiqim"))</f>
        <v/>
      </c>
      <c r="I163" s="8">
        <f>IF(A167="","",SUMIFS(Operatsiyalar!$J:$J,Operatsiyalar!$C:$C,A167,Operatsiyalar!$E:$E,"chiqim"))</f>
        <v/>
      </c>
      <c r="J163" s="8">
        <f>IF(A167="","",D167+H167-F167)</f>
        <v/>
      </c>
      <c r="K163" s="8">
        <f>IF(A167="","",E167+I167-G167)</f>
        <v/>
      </c>
    </row>
    <row r="164">
      <c r="A164" s="5" t="n"/>
      <c r="B164" s="5" t="n"/>
      <c r="C164" s="6" t="n"/>
      <c r="D164" s="8" t="n"/>
      <c r="E164" s="8" t="n"/>
      <c r="F164" s="8">
        <f>IF(A168="","",SUMIFS(Operatsiyalar!$I:$I,Operatsiyalar!$C:$C,A168,Operatsiyalar!$E:$E,"kirim"))</f>
        <v/>
      </c>
      <c r="G164" s="8">
        <f>IF(A168="","",SUMIFS(Operatsiyalar!$J:$J,Operatsiyalar!$C:$C,A168,Operatsiyalar!$E:$E,"kirim"))</f>
        <v/>
      </c>
      <c r="H164" s="8">
        <f>IF(A168="","",SUMIFS(Operatsiyalar!$I:$I,Operatsiyalar!$C:$C,A168,Operatsiyalar!$E:$E,"chiqim"))</f>
        <v/>
      </c>
      <c r="I164" s="8">
        <f>IF(A168="","",SUMIFS(Operatsiyalar!$J:$J,Operatsiyalar!$C:$C,A168,Operatsiyalar!$E:$E,"chiqim"))</f>
        <v/>
      </c>
      <c r="J164" s="8">
        <f>IF(A168="","",D168+H168-F168)</f>
        <v/>
      </c>
      <c r="K164" s="8">
        <f>IF(A168="","",E168+I168-G168)</f>
        <v/>
      </c>
    </row>
    <row r="165">
      <c r="A165" s="5" t="n"/>
      <c r="B165" s="5" t="n"/>
      <c r="C165" s="6" t="n"/>
      <c r="D165" s="8" t="n"/>
      <c r="E165" s="8" t="n"/>
      <c r="F165" s="8">
        <f>IF(A169="","",SUMIFS(Operatsiyalar!$I:$I,Operatsiyalar!$C:$C,A169,Operatsiyalar!$E:$E,"kirim"))</f>
        <v/>
      </c>
      <c r="G165" s="8">
        <f>IF(A169="","",SUMIFS(Operatsiyalar!$J:$J,Operatsiyalar!$C:$C,A169,Operatsiyalar!$E:$E,"kirim"))</f>
        <v/>
      </c>
      <c r="H165" s="8">
        <f>IF(A169="","",SUMIFS(Operatsiyalar!$I:$I,Operatsiyalar!$C:$C,A169,Operatsiyalar!$E:$E,"chiqim"))</f>
        <v/>
      </c>
      <c r="I165" s="8">
        <f>IF(A169="","",SUMIFS(Operatsiyalar!$J:$J,Operatsiyalar!$C:$C,A169,Operatsiyalar!$E:$E,"chiqim"))</f>
        <v/>
      </c>
      <c r="J165" s="8">
        <f>IF(A169="","",D169+H169-F169)</f>
        <v/>
      </c>
      <c r="K165" s="8">
        <f>IF(A169="","",E169+I169-G169)</f>
        <v/>
      </c>
    </row>
    <row r="166">
      <c r="A166" s="5" t="n"/>
      <c r="B166" s="5" t="n"/>
      <c r="C166" s="6" t="n"/>
      <c r="D166" s="8" t="n"/>
      <c r="E166" s="8" t="n"/>
      <c r="F166" s="8">
        <f>IF(A170="","",SUMIFS(Operatsiyalar!$I:$I,Operatsiyalar!$C:$C,A170,Operatsiyalar!$E:$E,"kirim"))</f>
        <v/>
      </c>
      <c r="G166" s="8">
        <f>IF(A170="","",SUMIFS(Operatsiyalar!$J:$J,Operatsiyalar!$C:$C,A170,Operatsiyalar!$E:$E,"kirim"))</f>
        <v/>
      </c>
      <c r="H166" s="8">
        <f>IF(A170="","",SUMIFS(Operatsiyalar!$I:$I,Operatsiyalar!$C:$C,A170,Operatsiyalar!$E:$E,"chiqim"))</f>
        <v/>
      </c>
      <c r="I166" s="8">
        <f>IF(A170="","",SUMIFS(Operatsiyalar!$J:$J,Operatsiyalar!$C:$C,A170,Operatsiyalar!$E:$E,"chiqim"))</f>
        <v/>
      </c>
      <c r="J166" s="8">
        <f>IF(A170="","",D170+H170-F170)</f>
        <v/>
      </c>
      <c r="K166" s="8">
        <f>IF(A170="","",E170+I170-G170)</f>
        <v/>
      </c>
    </row>
    <row r="167">
      <c r="A167" s="5" t="n"/>
      <c r="B167" s="5" t="n"/>
      <c r="C167" s="6" t="n"/>
      <c r="D167" s="8" t="n"/>
      <c r="E167" s="8" t="n"/>
      <c r="F167" s="8">
        <f>IF(A171="","",SUMIFS(Operatsiyalar!$I:$I,Operatsiyalar!$C:$C,A171,Operatsiyalar!$E:$E,"kirim"))</f>
        <v/>
      </c>
      <c r="G167" s="8">
        <f>IF(A171="","",SUMIFS(Operatsiyalar!$J:$J,Operatsiyalar!$C:$C,A171,Operatsiyalar!$E:$E,"kirim"))</f>
        <v/>
      </c>
      <c r="H167" s="8">
        <f>IF(A171="","",SUMIFS(Operatsiyalar!$I:$I,Operatsiyalar!$C:$C,A171,Operatsiyalar!$E:$E,"chiqim"))</f>
        <v/>
      </c>
      <c r="I167" s="8">
        <f>IF(A171="","",SUMIFS(Operatsiyalar!$J:$J,Operatsiyalar!$C:$C,A171,Operatsiyalar!$E:$E,"chiqim"))</f>
        <v/>
      </c>
      <c r="J167" s="8">
        <f>IF(A171="","",D171+H171-F171)</f>
        <v/>
      </c>
      <c r="K167" s="8">
        <f>IF(A171="","",E171+I171-G171)</f>
        <v/>
      </c>
    </row>
    <row r="168">
      <c r="A168" s="5" t="n"/>
      <c r="B168" s="5" t="n"/>
      <c r="C168" s="6" t="n"/>
      <c r="D168" s="8" t="n"/>
      <c r="E168" s="8" t="n"/>
      <c r="F168" s="8">
        <f>IF(A172="","",SUMIFS(Operatsiyalar!$I:$I,Operatsiyalar!$C:$C,A172,Operatsiyalar!$E:$E,"kirim"))</f>
        <v/>
      </c>
      <c r="G168" s="8">
        <f>IF(A172="","",SUMIFS(Operatsiyalar!$J:$J,Operatsiyalar!$C:$C,A172,Operatsiyalar!$E:$E,"kirim"))</f>
        <v/>
      </c>
      <c r="H168" s="8">
        <f>IF(A172="","",SUMIFS(Operatsiyalar!$I:$I,Operatsiyalar!$C:$C,A172,Operatsiyalar!$E:$E,"chiqim"))</f>
        <v/>
      </c>
      <c r="I168" s="8">
        <f>IF(A172="","",SUMIFS(Operatsiyalar!$J:$J,Operatsiyalar!$C:$C,A172,Operatsiyalar!$E:$E,"chiqim"))</f>
        <v/>
      </c>
      <c r="J168" s="8">
        <f>IF(A172="","",D172+H172-F172)</f>
        <v/>
      </c>
      <c r="K168" s="8">
        <f>IF(A172="","",E172+I172-G172)</f>
        <v/>
      </c>
    </row>
    <row r="169">
      <c r="A169" s="5" t="n"/>
      <c r="B169" s="5" t="n"/>
      <c r="C169" s="6" t="n"/>
      <c r="D169" s="8" t="n"/>
      <c r="E169" s="8" t="n"/>
      <c r="F169" s="8">
        <f>IF(A173="","",SUMIFS(Operatsiyalar!$I:$I,Operatsiyalar!$C:$C,A173,Operatsiyalar!$E:$E,"kirim"))</f>
        <v/>
      </c>
      <c r="G169" s="8">
        <f>IF(A173="","",SUMIFS(Operatsiyalar!$J:$J,Operatsiyalar!$C:$C,A173,Operatsiyalar!$E:$E,"kirim"))</f>
        <v/>
      </c>
      <c r="H169" s="8">
        <f>IF(A173="","",SUMIFS(Operatsiyalar!$I:$I,Operatsiyalar!$C:$C,A173,Operatsiyalar!$E:$E,"chiqim"))</f>
        <v/>
      </c>
      <c r="I169" s="8">
        <f>IF(A173="","",SUMIFS(Operatsiyalar!$J:$J,Operatsiyalar!$C:$C,A173,Operatsiyalar!$E:$E,"chiqim"))</f>
        <v/>
      </c>
      <c r="J169" s="8">
        <f>IF(A173="","",D173+H173-F173)</f>
        <v/>
      </c>
      <c r="K169" s="8">
        <f>IF(A173="","",E173+I173-G173)</f>
        <v/>
      </c>
    </row>
    <row r="170">
      <c r="A170" s="5" t="n"/>
      <c r="B170" s="5" t="n"/>
      <c r="C170" s="6" t="n"/>
      <c r="D170" s="8" t="n"/>
      <c r="E170" s="8" t="n"/>
      <c r="F170" s="8">
        <f>IF(A174="","",SUMIFS(Operatsiyalar!$I:$I,Operatsiyalar!$C:$C,A174,Operatsiyalar!$E:$E,"kirim"))</f>
        <v/>
      </c>
      <c r="G170" s="8">
        <f>IF(A174="","",SUMIFS(Operatsiyalar!$J:$J,Operatsiyalar!$C:$C,A174,Operatsiyalar!$E:$E,"kirim"))</f>
        <v/>
      </c>
      <c r="H170" s="8">
        <f>IF(A174="","",SUMIFS(Operatsiyalar!$I:$I,Operatsiyalar!$C:$C,A174,Operatsiyalar!$E:$E,"chiqim"))</f>
        <v/>
      </c>
      <c r="I170" s="8">
        <f>IF(A174="","",SUMIFS(Operatsiyalar!$J:$J,Operatsiyalar!$C:$C,A174,Operatsiyalar!$E:$E,"chiqim"))</f>
        <v/>
      </c>
      <c r="J170" s="8">
        <f>IF(A174="","",D174+H174-F174)</f>
        <v/>
      </c>
      <c r="K170" s="8">
        <f>IF(A174="","",E174+I174-G174)</f>
        <v/>
      </c>
    </row>
    <row r="171">
      <c r="A171" s="5" t="n"/>
      <c r="B171" s="5" t="n"/>
      <c r="C171" s="6" t="n"/>
      <c r="D171" s="8" t="n"/>
      <c r="E171" s="8" t="n"/>
      <c r="F171" s="8">
        <f>IF(A175="","",SUMIFS(Operatsiyalar!$I:$I,Operatsiyalar!$C:$C,A175,Operatsiyalar!$E:$E,"kirim"))</f>
        <v/>
      </c>
      <c r="G171" s="8">
        <f>IF(A175="","",SUMIFS(Operatsiyalar!$J:$J,Operatsiyalar!$C:$C,A175,Operatsiyalar!$E:$E,"kirim"))</f>
        <v/>
      </c>
      <c r="H171" s="8">
        <f>IF(A175="","",SUMIFS(Operatsiyalar!$I:$I,Operatsiyalar!$C:$C,A175,Operatsiyalar!$E:$E,"chiqim"))</f>
        <v/>
      </c>
      <c r="I171" s="8">
        <f>IF(A175="","",SUMIFS(Operatsiyalar!$J:$J,Operatsiyalar!$C:$C,A175,Operatsiyalar!$E:$E,"chiqim"))</f>
        <v/>
      </c>
      <c r="J171" s="8">
        <f>IF(A175="","",D175+H175-F175)</f>
        <v/>
      </c>
      <c r="K171" s="8">
        <f>IF(A175="","",E175+I175-G175)</f>
        <v/>
      </c>
    </row>
    <row r="172">
      <c r="A172" s="5" t="n"/>
      <c r="B172" s="5" t="n"/>
      <c r="C172" s="6" t="n"/>
      <c r="D172" s="8" t="n"/>
      <c r="E172" s="8" t="n"/>
      <c r="F172" s="8">
        <f>IF(A176="","",SUMIFS(Operatsiyalar!$I:$I,Operatsiyalar!$C:$C,A176,Operatsiyalar!$E:$E,"kirim"))</f>
        <v/>
      </c>
      <c r="G172" s="8">
        <f>IF(A176="","",SUMIFS(Operatsiyalar!$J:$J,Operatsiyalar!$C:$C,A176,Operatsiyalar!$E:$E,"kirim"))</f>
        <v/>
      </c>
      <c r="H172" s="8">
        <f>IF(A176="","",SUMIFS(Operatsiyalar!$I:$I,Operatsiyalar!$C:$C,A176,Operatsiyalar!$E:$E,"chiqim"))</f>
        <v/>
      </c>
      <c r="I172" s="8">
        <f>IF(A176="","",SUMIFS(Operatsiyalar!$J:$J,Operatsiyalar!$C:$C,A176,Operatsiyalar!$E:$E,"chiqim"))</f>
        <v/>
      </c>
      <c r="J172" s="8">
        <f>IF(A176="","",D176+H176-F176)</f>
        <v/>
      </c>
      <c r="K172" s="8">
        <f>IF(A176="","",E176+I176-G176)</f>
        <v/>
      </c>
    </row>
    <row r="173">
      <c r="A173" s="5" t="n"/>
      <c r="B173" s="5" t="n"/>
      <c r="C173" s="6" t="n"/>
      <c r="D173" s="8" t="n"/>
      <c r="E173" s="8" t="n"/>
      <c r="F173" s="8">
        <f>IF(A177="","",SUMIFS(Operatsiyalar!$I:$I,Operatsiyalar!$C:$C,A177,Operatsiyalar!$E:$E,"kirim"))</f>
        <v/>
      </c>
      <c r="G173" s="8">
        <f>IF(A177="","",SUMIFS(Operatsiyalar!$J:$J,Operatsiyalar!$C:$C,A177,Operatsiyalar!$E:$E,"kirim"))</f>
        <v/>
      </c>
      <c r="H173" s="8">
        <f>IF(A177="","",SUMIFS(Operatsiyalar!$I:$I,Operatsiyalar!$C:$C,A177,Operatsiyalar!$E:$E,"chiqim"))</f>
        <v/>
      </c>
      <c r="I173" s="8">
        <f>IF(A177="","",SUMIFS(Operatsiyalar!$J:$J,Operatsiyalar!$C:$C,A177,Operatsiyalar!$E:$E,"chiqim"))</f>
        <v/>
      </c>
      <c r="J173" s="8">
        <f>IF(A177="","",D177+H177-F177)</f>
        <v/>
      </c>
      <c r="K173" s="8">
        <f>IF(A177="","",E177+I177-G177)</f>
        <v/>
      </c>
    </row>
    <row r="174">
      <c r="A174" s="5" t="n"/>
      <c r="B174" s="5" t="n"/>
      <c r="C174" s="6" t="n"/>
      <c r="D174" s="8" t="n"/>
      <c r="E174" s="8" t="n"/>
      <c r="F174" s="8">
        <f>IF(A178="","",SUMIFS(Operatsiyalar!$I:$I,Operatsiyalar!$C:$C,A178,Operatsiyalar!$E:$E,"kirim"))</f>
        <v/>
      </c>
      <c r="G174" s="8">
        <f>IF(A178="","",SUMIFS(Operatsiyalar!$J:$J,Operatsiyalar!$C:$C,A178,Operatsiyalar!$E:$E,"kirim"))</f>
        <v/>
      </c>
      <c r="H174" s="8">
        <f>IF(A178="","",SUMIFS(Operatsiyalar!$I:$I,Operatsiyalar!$C:$C,A178,Operatsiyalar!$E:$E,"chiqim"))</f>
        <v/>
      </c>
      <c r="I174" s="8">
        <f>IF(A178="","",SUMIFS(Operatsiyalar!$J:$J,Operatsiyalar!$C:$C,A178,Operatsiyalar!$E:$E,"chiqim"))</f>
        <v/>
      </c>
      <c r="J174" s="8">
        <f>IF(A178="","",D178+H178-F178)</f>
        <v/>
      </c>
      <c r="K174" s="8">
        <f>IF(A178="","",E178+I178-G178)</f>
        <v/>
      </c>
    </row>
    <row r="175">
      <c r="A175" s="5" t="n"/>
      <c r="B175" s="5" t="n"/>
      <c r="C175" s="6" t="n"/>
      <c r="D175" s="8" t="n"/>
      <c r="E175" s="8" t="n"/>
      <c r="F175" s="8">
        <f>IF(A179="","",SUMIFS(Operatsiyalar!$I:$I,Operatsiyalar!$C:$C,A179,Operatsiyalar!$E:$E,"kirim"))</f>
        <v/>
      </c>
      <c r="G175" s="8">
        <f>IF(A179="","",SUMIFS(Operatsiyalar!$J:$J,Operatsiyalar!$C:$C,A179,Operatsiyalar!$E:$E,"kirim"))</f>
        <v/>
      </c>
      <c r="H175" s="8">
        <f>IF(A179="","",SUMIFS(Operatsiyalar!$I:$I,Operatsiyalar!$C:$C,A179,Operatsiyalar!$E:$E,"chiqim"))</f>
        <v/>
      </c>
      <c r="I175" s="8">
        <f>IF(A179="","",SUMIFS(Operatsiyalar!$J:$J,Operatsiyalar!$C:$C,A179,Operatsiyalar!$E:$E,"chiqim"))</f>
        <v/>
      </c>
      <c r="J175" s="8">
        <f>IF(A179="","",D179+H179-F179)</f>
        <v/>
      </c>
      <c r="K175" s="8">
        <f>IF(A179="","",E179+I179-G179)</f>
        <v/>
      </c>
    </row>
    <row r="176">
      <c r="A176" s="5" t="n"/>
      <c r="B176" s="5" t="n"/>
      <c r="C176" s="6" t="n"/>
      <c r="D176" s="8" t="n"/>
      <c r="E176" s="8" t="n"/>
      <c r="F176" s="8">
        <f>IF(A180="","",SUMIFS(Operatsiyalar!$I:$I,Operatsiyalar!$C:$C,A180,Operatsiyalar!$E:$E,"kirim"))</f>
        <v/>
      </c>
      <c r="G176" s="8">
        <f>IF(A180="","",SUMIFS(Operatsiyalar!$J:$J,Operatsiyalar!$C:$C,A180,Operatsiyalar!$E:$E,"kirim"))</f>
        <v/>
      </c>
      <c r="H176" s="8">
        <f>IF(A180="","",SUMIFS(Operatsiyalar!$I:$I,Operatsiyalar!$C:$C,A180,Operatsiyalar!$E:$E,"chiqim"))</f>
        <v/>
      </c>
      <c r="I176" s="8">
        <f>IF(A180="","",SUMIFS(Operatsiyalar!$J:$J,Operatsiyalar!$C:$C,A180,Operatsiyalar!$E:$E,"chiqim"))</f>
        <v/>
      </c>
      <c r="J176" s="8">
        <f>IF(A180="","",D180+H180-F180)</f>
        <v/>
      </c>
      <c r="K176" s="8">
        <f>IF(A180="","",E180+I180-G180)</f>
        <v/>
      </c>
    </row>
    <row r="177">
      <c r="A177" s="5" t="n"/>
      <c r="B177" s="5" t="n"/>
      <c r="C177" s="6" t="n"/>
      <c r="D177" s="8" t="n"/>
      <c r="E177" s="8" t="n"/>
      <c r="F177" s="8">
        <f>IF(A181="","",SUMIFS(Operatsiyalar!$I:$I,Operatsiyalar!$C:$C,A181,Operatsiyalar!$E:$E,"kirim"))</f>
        <v/>
      </c>
      <c r="G177" s="8">
        <f>IF(A181="","",SUMIFS(Operatsiyalar!$J:$J,Operatsiyalar!$C:$C,A181,Operatsiyalar!$E:$E,"kirim"))</f>
        <v/>
      </c>
      <c r="H177" s="8">
        <f>IF(A181="","",SUMIFS(Operatsiyalar!$I:$I,Operatsiyalar!$C:$C,A181,Operatsiyalar!$E:$E,"chiqim"))</f>
        <v/>
      </c>
      <c r="I177" s="8">
        <f>IF(A181="","",SUMIFS(Operatsiyalar!$J:$J,Operatsiyalar!$C:$C,A181,Operatsiyalar!$E:$E,"chiqim"))</f>
        <v/>
      </c>
      <c r="J177" s="8">
        <f>IF(A181="","",D181+H181-F181)</f>
        <v/>
      </c>
      <c r="K177" s="8">
        <f>IF(A181="","",E181+I181-G181)</f>
        <v/>
      </c>
    </row>
    <row r="178">
      <c r="A178" s="5" t="n"/>
      <c r="B178" s="5" t="n"/>
      <c r="C178" s="6" t="n"/>
      <c r="D178" s="8" t="n"/>
      <c r="E178" s="8" t="n"/>
      <c r="F178" s="8">
        <f>IF(A182="","",SUMIFS(Operatsiyalar!$I:$I,Operatsiyalar!$C:$C,A182,Operatsiyalar!$E:$E,"kirim"))</f>
        <v/>
      </c>
      <c r="G178" s="8">
        <f>IF(A182="","",SUMIFS(Operatsiyalar!$J:$J,Operatsiyalar!$C:$C,A182,Operatsiyalar!$E:$E,"kirim"))</f>
        <v/>
      </c>
      <c r="H178" s="8">
        <f>IF(A182="","",SUMIFS(Operatsiyalar!$I:$I,Operatsiyalar!$C:$C,A182,Operatsiyalar!$E:$E,"chiqim"))</f>
        <v/>
      </c>
      <c r="I178" s="8">
        <f>IF(A182="","",SUMIFS(Operatsiyalar!$J:$J,Operatsiyalar!$C:$C,A182,Operatsiyalar!$E:$E,"chiqim"))</f>
        <v/>
      </c>
      <c r="J178" s="8">
        <f>IF(A182="","",D182+H182-F182)</f>
        <v/>
      </c>
      <c r="K178" s="8">
        <f>IF(A182="","",E182+I182-G182)</f>
        <v/>
      </c>
    </row>
    <row r="179">
      <c r="A179" s="5" t="n"/>
      <c r="B179" s="5" t="n"/>
      <c r="C179" s="6" t="n"/>
      <c r="D179" s="8" t="n"/>
      <c r="E179" s="8" t="n"/>
      <c r="F179" s="8">
        <f>IF(A183="","",SUMIFS(Operatsiyalar!$I:$I,Operatsiyalar!$C:$C,A183,Operatsiyalar!$E:$E,"kirim"))</f>
        <v/>
      </c>
      <c r="G179" s="8">
        <f>IF(A183="","",SUMIFS(Operatsiyalar!$J:$J,Operatsiyalar!$C:$C,A183,Operatsiyalar!$E:$E,"kirim"))</f>
        <v/>
      </c>
      <c r="H179" s="8">
        <f>IF(A183="","",SUMIFS(Operatsiyalar!$I:$I,Operatsiyalar!$C:$C,A183,Operatsiyalar!$E:$E,"chiqim"))</f>
        <v/>
      </c>
      <c r="I179" s="8">
        <f>IF(A183="","",SUMIFS(Operatsiyalar!$J:$J,Operatsiyalar!$C:$C,A183,Operatsiyalar!$E:$E,"chiqim"))</f>
        <v/>
      </c>
      <c r="J179" s="8">
        <f>IF(A183="","",D183+H183-F183)</f>
        <v/>
      </c>
      <c r="K179" s="8">
        <f>IF(A183="","",E183+I183-G183)</f>
        <v/>
      </c>
    </row>
    <row r="180">
      <c r="A180" s="5" t="n"/>
      <c r="B180" s="5" t="n"/>
      <c r="C180" s="6" t="n"/>
      <c r="D180" s="8" t="n"/>
      <c r="E180" s="8" t="n"/>
      <c r="F180" s="8">
        <f>IF(A184="","",SUMIFS(Operatsiyalar!$I:$I,Operatsiyalar!$C:$C,A184,Operatsiyalar!$E:$E,"kirim"))</f>
        <v/>
      </c>
      <c r="G180" s="8">
        <f>IF(A184="","",SUMIFS(Operatsiyalar!$J:$J,Operatsiyalar!$C:$C,A184,Operatsiyalar!$E:$E,"kirim"))</f>
        <v/>
      </c>
      <c r="H180" s="8">
        <f>IF(A184="","",SUMIFS(Operatsiyalar!$I:$I,Operatsiyalar!$C:$C,A184,Operatsiyalar!$E:$E,"chiqim"))</f>
        <v/>
      </c>
      <c r="I180" s="8">
        <f>IF(A184="","",SUMIFS(Operatsiyalar!$J:$J,Operatsiyalar!$C:$C,A184,Operatsiyalar!$E:$E,"chiqim"))</f>
        <v/>
      </c>
      <c r="J180" s="8">
        <f>IF(A184="","",D184+H184-F184)</f>
        <v/>
      </c>
      <c r="K180" s="8">
        <f>IF(A184="","",E184+I184-G184)</f>
        <v/>
      </c>
    </row>
    <row r="181">
      <c r="A181" s="5" t="n"/>
      <c r="B181" s="5" t="n"/>
      <c r="C181" s="6" t="n"/>
      <c r="D181" s="8" t="n"/>
      <c r="E181" s="8" t="n"/>
      <c r="F181" s="8">
        <f>IF(A185="","",SUMIFS(Operatsiyalar!$I:$I,Operatsiyalar!$C:$C,A185,Operatsiyalar!$E:$E,"kirim"))</f>
        <v/>
      </c>
      <c r="G181" s="8">
        <f>IF(A185="","",SUMIFS(Operatsiyalar!$J:$J,Operatsiyalar!$C:$C,A185,Operatsiyalar!$E:$E,"kirim"))</f>
        <v/>
      </c>
      <c r="H181" s="8">
        <f>IF(A185="","",SUMIFS(Operatsiyalar!$I:$I,Operatsiyalar!$C:$C,A185,Operatsiyalar!$E:$E,"chiqim"))</f>
        <v/>
      </c>
      <c r="I181" s="8">
        <f>IF(A185="","",SUMIFS(Operatsiyalar!$J:$J,Operatsiyalar!$C:$C,A185,Operatsiyalar!$E:$E,"chiqim"))</f>
        <v/>
      </c>
      <c r="J181" s="8">
        <f>IF(A185="","",D185+H185-F185)</f>
        <v/>
      </c>
      <c r="K181" s="8">
        <f>IF(A185="","",E185+I185-G185)</f>
        <v/>
      </c>
    </row>
    <row r="182">
      <c r="A182" s="5" t="n"/>
      <c r="B182" s="5" t="n"/>
      <c r="C182" s="6" t="n"/>
      <c r="D182" s="8" t="n"/>
      <c r="E182" s="8" t="n"/>
      <c r="F182" s="8">
        <f>IF(A186="","",SUMIFS(Operatsiyalar!$I:$I,Operatsiyalar!$C:$C,A186,Operatsiyalar!$E:$E,"kirim"))</f>
        <v/>
      </c>
      <c r="G182" s="8">
        <f>IF(A186="","",SUMIFS(Operatsiyalar!$J:$J,Operatsiyalar!$C:$C,A186,Operatsiyalar!$E:$E,"kirim"))</f>
        <v/>
      </c>
      <c r="H182" s="8">
        <f>IF(A186="","",SUMIFS(Operatsiyalar!$I:$I,Operatsiyalar!$C:$C,A186,Operatsiyalar!$E:$E,"chiqim"))</f>
        <v/>
      </c>
      <c r="I182" s="8">
        <f>IF(A186="","",SUMIFS(Operatsiyalar!$J:$J,Operatsiyalar!$C:$C,A186,Operatsiyalar!$E:$E,"chiqim"))</f>
        <v/>
      </c>
      <c r="J182" s="8">
        <f>IF(A186="","",D186+H186-F186)</f>
        <v/>
      </c>
      <c r="K182" s="8">
        <f>IF(A186="","",E186+I186-G186)</f>
        <v/>
      </c>
    </row>
    <row r="183">
      <c r="A183" s="5" t="n"/>
      <c r="B183" s="5" t="n"/>
      <c r="C183" s="6" t="n"/>
      <c r="D183" s="8" t="n"/>
      <c r="E183" s="8" t="n"/>
      <c r="F183" s="8">
        <f>IF(A187="","",SUMIFS(Operatsiyalar!$I:$I,Operatsiyalar!$C:$C,A187,Operatsiyalar!$E:$E,"kirim"))</f>
        <v/>
      </c>
      <c r="G183" s="8">
        <f>IF(A187="","",SUMIFS(Operatsiyalar!$J:$J,Operatsiyalar!$C:$C,A187,Operatsiyalar!$E:$E,"kirim"))</f>
        <v/>
      </c>
      <c r="H183" s="8">
        <f>IF(A187="","",SUMIFS(Operatsiyalar!$I:$I,Operatsiyalar!$C:$C,A187,Operatsiyalar!$E:$E,"chiqim"))</f>
        <v/>
      </c>
      <c r="I183" s="8">
        <f>IF(A187="","",SUMIFS(Operatsiyalar!$J:$J,Operatsiyalar!$C:$C,A187,Operatsiyalar!$E:$E,"chiqim"))</f>
        <v/>
      </c>
      <c r="J183" s="8">
        <f>IF(A187="","",D187+H187-F187)</f>
        <v/>
      </c>
      <c r="K183" s="8">
        <f>IF(A187="","",E187+I187-G187)</f>
        <v/>
      </c>
    </row>
    <row r="184">
      <c r="A184" s="5" t="n"/>
      <c r="B184" s="5" t="n"/>
      <c r="C184" s="6" t="n"/>
      <c r="D184" s="8" t="n"/>
      <c r="E184" s="8" t="n"/>
      <c r="F184" s="8">
        <f>IF(A188="","",SUMIFS(Operatsiyalar!$I:$I,Operatsiyalar!$C:$C,A188,Operatsiyalar!$E:$E,"kirim"))</f>
        <v/>
      </c>
      <c r="G184" s="8">
        <f>IF(A188="","",SUMIFS(Operatsiyalar!$J:$J,Operatsiyalar!$C:$C,A188,Operatsiyalar!$E:$E,"kirim"))</f>
        <v/>
      </c>
      <c r="H184" s="8">
        <f>IF(A188="","",SUMIFS(Operatsiyalar!$I:$I,Operatsiyalar!$C:$C,A188,Operatsiyalar!$E:$E,"chiqim"))</f>
        <v/>
      </c>
      <c r="I184" s="8">
        <f>IF(A188="","",SUMIFS(Operatsiyalar!$J:$J,Operatsiyalar!$C:$C,A188,Operatsiyalar!$E:$E,"chiqim"))</f>
        <v/>
      </c>
      <c r="J184" s="8">
        <f>IF(A188="","",D188+H188-F188)</f>
        <v/>
      </c>
      <c r="K184" s="8">
        <f>IF(A188="","",E188+I188-G188)</f>
        <v/>
      </c>
    </row>
    <row r="185">
      <c r="A185" s="5" t="n"/>
      <c r="B185" s="5" t="n"/>
      <c r="C185" s="6" t="n"/>
      <c r="D185" s="8" t="n"/>
      <c r="E185" s="8" t="n"/>
      <c r="F185" s="8">
        <f>IF(A189="","",SUMIFS(Operatsiyalar!$I:$I,Operatsiyalar!$C:$C,A189,Operatsiyalar!$E:$E,"kirim"))</f>
        <v/>
      </c>
      <c r="G185" s="8">
        <f>IF(A189="","",SUMIFS(Operatsiyalar!$J:$J,Operatsiyalar!$C:$C,A189,Operatsiyalar!$E:$E,"kirim"))</f>
        <v/>
      </c>
      <c r="H185" s="8">
        <f>IF(A189="","",SUMIFS(Operatsiyalar!$I:$I,Operatsiyalar!$C:$C,A189,Operatsiyalar!$E:$E,"chiqim"))</f>
        <v/>
      </c>
      <c r="I185" s="8">
        <f>IF(A189="","",SUMIFS(Operatsiyalar!$J:$J,Operatsiyalar!$C:$C,A189,Operatsiyalar!$E:$E,"chiqim"))</f>
        <v/>
      </c>
      <c r="J185" s="8">
        <f>IF(A189="","",D189+H189-F189)</f>
        <v/>
      </c>
      <c r="K185" s="8">
        <f>IF(A189="","",E189+I189-G189)</f>
        <v/>
      </c>
    </row>
    <row r="186">
      <c r="A186" s="5" t="n"/>
      <c r="B186" s="5" t="n"/>
      <c r="C186" s="6" t="n"/>
      <c r="D186" s="8" t="n"/>
      <c r="E186" s="8" t="n"/>
      <c r="F186" s="8">
        <f>IF(A190="","",SUMIFS(Operatsiyalar!$I:$I,Operatsiyalar!$C:$C,A190,Operatsiyalar!$E:$E,"kirim"))</f>
        <v/>
      </c>
      <c r="G186" s="8">
        <f>IF(A190="","",SUMIFS(Operatsiyalar!$J:$J,Operatsiyalar!$C:$C,A190,Operatsiyalar!$E:$E,"kirim"))</f>
        <v/>
      </c>
      <c r="H186" s="8">
        <f>IF(A190="","",SUMIFS(Operatsiyalar!$I:$I,Operatsiyalar!$C:$C,A190,Operatsiyalar!$E:$E,"chiqim"))</f>
        <v/>
      </c>
      <c r="I186" s="8">
        <f>IF(A190="","",SUMIFS(Operatsiyalar!$J:$J,Operatsiyalar!$C:$C,A190,Operatsiyalar!$E:$E,"chiqim"))</f>
        <v/>
      </c>
      <c r="J186" s="8">
        <f>IF(A190="","",D190+H190-F190)</f>
        <v/>
      </c>
      <c r="K186" s="8">
        <f>IF(A190="","",E190+I190-G190)</f>
        <v/>
      </c>
    </row>
    <row r="187">
      <c r="A187" s="5" t="n"/>
      <c r="B187" s="5" t="n"/>
      <c r="C187" s="6" t="n"/>
      <c r="D187" s="8" t="n"/>
      <c r="E187" s="8" t="n"/>
      <c r="F187" s="8">
        <f>IF(A191="","",SUMIFS(Operatsiyalar!$I:$I,Operatsiyalar!$C:$C,A191,Operatsiyalar!$E:$E,"kirim"))</f>
        <v/>
      </c>
      <c r="G187" s="8">
        <f>IF(A191="","",SUMIFS(Operatsiyalar!$J:$J,Operatsiyalar!$C:$C,A191,Operatsiyalar!$E:$E,"kirim"))</f>
        <v/>
      </c>
      <c r="H187" s="8">
        <f>IF(A191="","",SUMIFS(Operatsiyalar!$I:$I,Operatsiyalar!$C:$C,A191,Operatsiyalar!$E:$E,"chiqim"))</f>
        <v/>
      </c>
      <c r="I187" s="8">
        <f>IF(A191="","",SUMIFS(Operatsiyalar!$J:$J,Operatsiyalar!$C:$C,A191,Operatsiyalar!$E:$E,"chiqim"))</f>
        <v/>
      </c>
      <c r="J187" s="8">
        <f>IF(A191="","",D191+H191-F191)</f>
        <v/>
      </c>
      <c r="K187" s="8">
        <f>IF(A191="","",E191+I191-G191)</f>
        <v/>
      </c>
    </row>
    <row r="188">
      <c r="A188" s="5" t="n"/>
      <c r="B188" s="5" t="n"/>
      <c r="C188" s="6" t="n"/>
      <c r="D188" s="8" t="n"/>
      <c r="E188" s="8" t="n"/>
      <c r="F188" s="8">
        <f>IF(A192="","",SUMIFS(Operatsiyalar!$I:$I,Operatsiyalar!$C:$C,A192,Operatsiyalar!$E:$E,"kirim"))</f>
        <v/>
      </c>
      <c r="G188" s="8">
        <f>IF(A192="","",SUMIFS(Operatsiyalar!$J:$J,Operatsiyalar!$C:$C,A192,Operatsiyalar!$E:$E,"kirim"))</f>
        <v/>
      </c>
      <c r="H188" s="8">
        <f>IF(A192="","",SUMIFS(Operatsiyalar!$I:$I,Operatsiyalar!$C:$C,A192,Operatsiyalar!$E:$E,"chiqim"))</f>
        <v/>
      </c>
      <c r="I188" s="8">
        <f>IF(A192="","",SUMIFS(Operatsiyalar!$J:$J,Operatsiyalar!$C:$C,A192,Operatsiyalar!$E:$E,"chiqim"))</f>
        <v/>
      </c>
      <c r="J188" s="8">
        <f>IF(A192="","",D192+H192-F192)</f>
        <v/>
      </c>
      <c r="K188" s="8">
        <f>IF(A192="","",E192+I192-G192)</f>
        <v/>
      </c>
    </row>
    <row r="189">
      <c r="A189" s="5" t="n"/>
      <c r="B189" s="5" t="n"/>
      <c r="C189" s="6" t="n"/>
      <c r="D189" s="8" t="n"/>
      <c r="E189" s="8" t="n"/>
      <c r="F189" s="8">
        <f>IF(A193="","",SUMIFS(Operatsiyalar!$I:$I,Operatsiyalar!$C:$C,A193,Operatsiyalar!$E:$E,"kirim"))</f>
        <v/>
      </c>
      <c r="G189" s="8">
        <f>IF(A193="","",SUMIFS(Operatsiyalar!$J:$J,Operatsiyalar!$C:$C,A193,Operatsiyalar!$E:$E,"kirim"))</f>
        <v/>
      </c>
      <c r="H189" s="8">
        <f>IF(A193="","",SUMIFS(Operatsiyalar!$I:$I,Operatsiyalar!$C:$C,A193,Operatsiyalar!$E:$E,"chiqim"))</f>
        <v/>
      </c>
      <c r="I189" s="8">
        <f>IF(A193="","",SUMIFS(Operatsiyalar!$J:$J,Operatsiyalar!$C:$C,A193,Operatsiyalar!$E:$E,"chiqim"))</f>
        <v/>
      </c>
      <c r="J189" s="8">
        <f>IF(A193="","",D193+H193-F193)</f>
        <v/>
      </c>
      <c r="K189" s="8">
        <f>IF(A193="","",E193+I193-G193)</f>
        <v/>
      </c>
    </row>
    <row r="190">
      <c r="A190" s="5" t="n"/>
      <c r="B190" s="5" t="n"/>
      <c r="C190" s="6" t="n"/>
      <c r="D190" s="8" t="n"/>
      <c r="E190" s="8" t="n"/>
      <c r="F190" s="8">
        <f>IF(A194="","",SUMIFS(Operatsiyalar!$I:$I,Operatsiyalar!$C:$C,A194,Operatsiyalar!$E:$E,"kirim"))</f>
        <v/>
      </c>
      <c r="G190" s="8">
        <f>IF(A194="","",SUMIFS(Operatsiyalar!$J:$J,Operatsiyalar!$C:$C,A194,Operatsiyalar!$E:$E,"kirim"))</f>
        <v/>
      </c>
      <c r="H190" s="8">
        <f>IF(A194="","",SUMIFS(Operatsiyalar!$I:$I,Operatsiyalar!$C:$C,A194,Operatsiyalar!$E:$E,"chiqim"))</f>
        <v/>
      </c>
      <c r="I190" s="8">
        <f>IF(A194="","",SUMIFS(Operatsiyalar!$J:$J,Operatsiyalar!$C:$C,A194,Operatsiyalar!$E:$E,"chiqim"))</f>
        <v/>
      </c>
      <c r="J190" s="8">
        <f>IF(A194="","",D194+H194-F194)</f>
        <v/>
      </c>
      <c r="K190" s="8">
        <f>IF(A194="","",E194+I194-G194)</f>
        <v/>
      </c>
    </row>
    <row r="191">
      <c r="A191" s="5" t="n"/>
      <c r="B191" s="5" t="n"/>
      <c r="C191" s="6" t="n"/>
      <c r="D191" s="8" t="n"/>
      <c r="E191" s="8" t="n"/>
      <c r="F191" s="8">
        <f>IF(A195="","",SUMIFS(Operatsiyalar!$I:$I,Operatsiyalar!$C:$C,A195,Operatsiyalar!$E:$E,"kirim"))</f>
        <v/>
      </c>
      <c r="G191" s="8">
        <f>IF(A195="","",SUMIFS(Operatsiyalar!$J:$J,Operatsiyalar!$C:$C,A195,Operatsiyalar!$E:$E,"kirim"))</f>
        <v/>
      </c>
      <c r="H191" s="8">
        <f>IF(A195="","",SUMIFS(Operatsiyalar!$I:$I,Operatsiyalar!$C:$C,A195,Operatsiyalar!$E:$E,"chiqim"))</f>
        <v/>
      </c>
      <c r="I191" s="8">
        <f>IF(A195="","",SUMIFS(Operatsiyalar!$J:$J,Operatsiyalar!$C:$C,A195,Operatsiyalar!$E:$E,"chiqim"))</f>
        <v/>
      </c>
      <c r="J191" s="8">
        <f>IF(A195="","",D195+H195-F195)</f>
        <v/>
      </c>
      <c r="K191" s="8">
        <f>IF(A195="","",E195+I195-G195)</f>
        <v/>
      </c>
    </row>
    <row r="192">
      <c r="A192" s="5" t="n"/>
      <c r="B192" s="5" t="n"/>
      <c r="C192" s="6" t="n"/>
      <c r="D192" s="8" t="n"/>
      <c r="E192" s="8" t="n"/>
      <c r="F192" s="8">
        <f>IF(A196="","",SUMIFS(Operatsiyalar!$I:$I,Operatsiyalar!$C:$C,A196,Operatsiyalar!$E:$E,"kirim"))</f>
        <v/>
      </c>
      <c r="G192" s="8">
        <f>IF(A196="","",SUMIFS(Operatsiyalar!$J:$J,Operatsiyalar!$C:$C,A196,Operatsiyalar!$E:$E,"kirim"))</f>
        <v/>
      </c>
      <c r="H192" s="8">
        <f>IF(A196="","",SUMIFS(Operatsiyalar!$I:$I,Operatsiyalar!$C:$C,A196,Operatsiyalar!$E:$E,"chiqim"))</f>
        <v/>
      </c>
      <c r="I192" s="8">
        <f>IF(A196="","",SUMIFS(Operatsiyalar!$J:$J,Operatsiyalar!$C:$C,A196,Operatsiyalar!$E:$E,"chiqim"))</f>
        <v/>
      </c>
      <c r="J192" s="8">
        <f>IF(A196="","",D196+H196-F196)</f>
        <v/>
      </c>
      <c r="K192" s="8">
        <f>IF(A196="","",E196+I196-G196)</f>
        <v/>
      </c>
    </row>
    <row r="193">
      <c r="A193" s="5" t="n"/>
      <c r="B193" s="5" t="n"/>
      <c r="C193" s="6" t="n"/>
      <c r="D193" s="8" t="n"/>
      <c r="E193" s="8" t="n"/>
      <c r="F193" s="8">
        <f>IF(A197="","",SUMIFS(Operatsiyalar!$I:$I,Operatsiyalar!$C:$C,A197,Operatsiyalar!$E:$E,"kirim"))</f>
        <v/>
      </c>
      <c r="G193" s="8">
        <f>IF(A197="","",SUMIFS(Operatsiyalar!$J:$J,Operatsiyalar!$C:$C,A197,Operatsiyalar!$E:$E,"kirim"))</f>
        <v/>
      </c>
      <c r="H193" s="8">
        <f>IF(A197="","",SUMIFS(Operatsiyalar!$I:$I,Operatsiyalar!$C:$C,A197,Operatsiyalar!$E:$E,"chiqim"))</f>
        <v/>
      </c>
      <c r="I193" s="8">
        <f>IF(A197="","",SUMIFS(Operatsiyalar!$J:$J,Operatsiyalar!$C:$C,A197,Operatsiyalar!$E:$E,"chiqim"))</f>
        <v/>
      </c>
      <c r="J193" s="8">
        <f>IF(A197="","",D197+H197-F197)</f>
        <v/>
      </c>
      <c r="K193" s="8">
        <f>IF(A197="","",E197+I197-G197)</f>
        <v/>
      </c>
    </row>
    <row r="194">
      <c r="A194" s="5" t="n"/>
      <c r="B194" s="5" t="n"/>
      <c r="C194" s="6" t="n"/>
      <c r="D194" s="8" t="n"/>
      <c r="E194" s="8" t="n"/>
      <c r="F194" s="8">
        <f>IF(A198="","",SUMIFS(Operatsiyalar!$I:$I,Operatsiyalar!$C:$C,A198,Operatsiyalar!$E:$E,"kirim"))</f>
        <v/>
      </c>
      <c r="G194" s="8">
        <f>IF(A198="","",SUMIFS(Operatsiyalar!$J:$J,Operatsiyalar!$C:$C,A198,Operatsiyalar!$E:$E,"kirim"))</f>
        <v/>
      </c>
      <c r="H194" s="8">
        <f>IF(A198="","",SUMIFS(Operatsiyalar!$I:$I,Operatsiyalar!$C:$C,A198,Operatsiyalar!$E:$E,"chiqim"))</f>
        <v/>
      </c>
      <c r="I194" s="8">
        <f>IF(A198="","",SUMIFS(Operatsiyalar!$J:$J,Operatsiyalar!$C:$C,A198,Operatsiyalar!$E:$E,"chiqim"))</f>
        <v/>
      </c>
      <c r="J194" s="8">
        <f>IF(A198="","",D198+H198-F198)</f>
        <v/>
      </c>
      <c r="K194" s="8">
        <f>IF(A198="","",E198+I198-G198)</f>
        <v/>
      </c>
    </row>
    <row r="195">
      <c r="A195" s="5" t="n"/>
      <c r="B195" s="5" t="n"/>
      <c r="C195" s="6" t="n"/>
      <c r="D195" s="8" t="n"/>
      <c r="E195" s="8" t="n"/>
      <c r="F195" s="8">
        <f>IF(A199="","",SUMIFS(Operatsiyalar!$I:$I,Operatsiyalar!$C:$C,A199,Operatsiyalar!$E:$E,"kirim"))</f>
        <v/>
      </c>
      <c r="G195" s="8">
        <f>IF(A199="","",SUMIFS(Operatsiyalar!$J:$J,Operatsiyalar!$C:$C,A199,Operatsiyalar!$E:$E,"kirim"))</f>
        <v/>
      </c>
      <c r="H195" s="8">
        <f>IF(A199="","",SUMIFS(Operatsiyalar!$I:$I,Operatsiyalar!$C:$C,A199,Operatsiyalar!$E:$E,"chiqim"))</f>
        <v/>
      </c>
      <c r="I195" s="8">
        <f>IF(A199="","",SUMIFS(Operatsiyalar!$J:$J,Operatsiyalar!$C:$C,A199,Operatsiyalar!$E:$E,"chiqim"))</f>
        <v/>
      </c>
      <c r="J195" s="8">
        <f>IF(A199="","",D199+H199-F199)</f>
        <v/>
      </c>
      <c r="K195" s="8">
        <f>IF(A199="","",E199+I199-G199)</f>
        <v/>
      </c>
    </row>
    <row r="196">
      <c r="A196" s="5" t="n"/>
      <c r="B196" s="5" t="n"/>
      <c r="C196" s="6" t="n"/>
      <c r="D196" s="8" t="n"/>
      <c r="E196" s="8" t="n"/>
      <c r="F196" s="8">
        <f>IF(A200="","",SUMIFS(Operatsiyalar!$I:$I,Operatsiyalar!$C:$C,A200,Operatsiyalar!$E:$E,"kirim"))</f>
        <v/>
      </c>
      <c r="G196" s="8">
        <f>IF(A200="","",SUMIFS(Operatsiyalar!$J:$J,Operatsiyalar!$C:$C,A200,Operatsiyalar!$E:$E,"kirim"))</f>
        <v/>
      </c>
      <c r="H196" s="8">
        <f>IF(A200="","",SUMIFS(Operatsiyalar!$I:$I,Operatsiyalar!$C:$C,A200,Operatsiyalar!$E:$E,"chiqim"))</f>
        <v/>
      </c>
      <c r="I196" s="8">
        <f>IF(A200="","",SUMIFS(Operatsiyalar!$J:$J,Operatsiyalar!$C:$C,A200,Operatsiyalar!$E:$E,"chiqim"))</f>
        <v/>
      </c>
      <c r="J196" s="8">
        <f>IF(A200="","",D200+H200-F200)</f>
        <v/>
      </c>
      <c r="K196" s="8">
        <f>IF(A200="","",E200+I200-G200)</f>
        <v/>
      </c>
    </row>
    <row r="197">
      <c r="A197" s="5" t="n"/>
      <c r="B197" s="5" t="n"/>
      <c r="C197" s="6" t="n"/>
      <c r="D197" s="8" t="n"/>
      <c r="E197" s="8" t="n"/>
      <c r="F197" s="8">
        <f>IF(A201="","",SUMIFS(Operatsiyalar!$I:$I,Operatsiyalar!$C:$C,A201,Operatsiyalar!$E:$E,"kirim"))</f>
        <v/>
      </c>
      <c r="G197" s="8">
        <f>IF(A201="","",SUMIFS(Operatsiyalar!$J:$J,Operatsiyalar!$C:$C,A201,Operatsiyalar!$E:$E,"kirim"))</f>
        <v/>
      </c>
      <c r="H197" s="8">
        <f>IF(A201="","",SUMIFS(Operatsiyalar!$I:$I,Operatsiyalar!$C:$C,A201,Operatsiyalar!$E:$E,"chiqim"))</f>
        <v/>
      </c>
      <c r="I197" s="8">
        <f>IF(A201="","",SUMIFS(Operatsiyalar!$J:$J,Operatsiyalar!$C:$C,A201,Operatsiyalar!$E:$E,"chiqim"))</f>
        <v/>
      </c>
      <c r="J197" s="8">
        <f>IF(A201="","",D201+H201-F201)</f>
        <v/>
      </c>
      <c r="K197" s="8">
        <f>IF(A201="","",E201+I201-G201)</f>
        <v/>
      </c>
    </row>
    <row r="198">
      <c r="A198" s="5" t="n"/>
      <c r="B198" s="5" t="n"/>
      <c r="C198" s="6" t="n"/>
      <c r="D198" s="8" t="n"/>
      <c r="E198" s="8" t="n"/>
      <c r="F198" s="8">
        <f>IF(A202="","",SUMIFS(Operatsiyalar!$I:$I,Operatsiyalar!$C:$C,A202,Operatsiyalar!$E:$E,"kirim"))</f>
        <v/>
      </c>
      <c r="G198" s="8">
        <f>IF(A202="","",SUMIFS(Operatsiyalar!$J:$J,Operatsiyalar!$C:$C,A202,Operatsiyalar!$E:$E,"kirim"))</f>
        <v/>
      </c>
      <c r="H198" s="8">
        <f>IF(A202="","",SUMIFS(Operatsiyalar!$I:$I,Operatsiyalar!$C:$C,A202,Operatsiyalar!$E:$E,"chiqim"))</f>
        <v/>
      </c>
      <c r="I198" s="8">
        <f>IF(A202="","",SUMIFS(Operatsiyalar!$J:$J,Operatsiyalar!$C:$C,A202,Operatsiyalar!$E:$E,"chiqim"))</f>
        <v/>
      </c>
      <c r="J198" s="8">
        <f>IF(A202="","",D202+H202-F202)</f>
        <v/>
      </c>
      <c r="K198" s="8">
        <f>IF(A202="","",E202+I202-G202)</f>
        <v/>
      </c>
    </row>
    <row r="199">
      <c r="A199" s="5" t="n"/>
      <c r="B199" s="5" t="n"/>
      <c r="C199" s="6" t="n"/>
      <c r="D199" s="8" t="n"/>
      <c r="E199" s="8" t="n"/>
      <c r="F199" s="8">
        <f>IF(A203="","",SUMIFS(Operatsiyalar!$I:$I,Operatsiyalar!$C:$C,A203,Operatsiyalar!$E:$E,"kirim"))</f>
        <v/>
      </c>
      <c r="G199" s="8">
        <f>IF(A203="","",SUMIFS(Operatsiyalar!$J:$J,Operatsiyalar!$C:$C,A203,Operatsiyalar!$E:$E,"kirim"))</f>
        <v/>
      </c>
      <c r="H199" s="8">
        <f>IF(A203="","",SUMIFS(Operatsiyalar!$I:$I,Operatsiyalar!$C:$C,A203,Operatsiyalar!$E:$E,"chiqim"))</f>
        <v/>
      </c>
      <c r="I199" s="8">
        <f>IF(A203="","",SUMIFS(Operatsiyalar!$J:$J,Operatsiyalar!$C:$C,A203,Operatsiyalar!$E:$E,"chiqim"))</f>
        <v/>
      </c>
      <c r="J199" s="8">
        <f>IF(A203="","",D203+H203-F203)</f>
        <v/>
      </c>
      <c r="K199" s="8">
        <f>IF(A203="","",E203+I203-G203)</f>
        <v/>
      </c>
    </row>
    <row r="200">
      <c r="A200" s="5" t="n"/>
      <c r="B200" s="5" t="n"/>
      <c r="C200" s="6" t="n"/>
      <c r="D200" s="8" t="n"/>
      <c r="E200" s="8" t="n"/>
      <c r="F200" s="8">
        <f>IF(A204="","",SUMIFS(Operatsiyalar!$I:$I,Operatsiyalar!$C:$C,A204,Operatsiyalar!$E:$E,"kirim"))</f>
        <v/>
      </c>
      <c r="G200" s="8">
        <f>IF(A204="","",SUMIFS(Operatsiyalar!$J:$J,Operatsiyalar!$C:$C,A204,Operatsiyalar!$E:$E,"kirim"))</f>
        <v/>
      </c>
      <c r="H200" s="8">
        <f>IF(A204="","",SUMIFS(Operatsiyalar!$I:$I,Operatsiyalar!$C:$C,A204,Operatsiyalar!$E:$E,"chiqim"))</f>
        <v/>
      </c>
      <c r="I200" s="8">
        <f>IF(A204="","",SUMIFS(Operatsiyalar!$J:$J,Operatsiyalar!$C:$C,A204,Operatsiyalar!$E:$E,"chiqim"))</f>
        <v/>
      </c>
      <c r="J200" s="8">
        <f>IF(A204="","",D204+H204-F204)</f>
        <v/>
      </c>
      <c r="K200" s="8">
        <f>IF(A204="","",E204+I204-G204)</f>
        <v/>
      </c>
    </row>
    <row r="201">
      <c r="A201" s="5" t="n"/>
      <c r="B201" s="5" t="n"/>
      <c r="C201" s="6" t="n"/>
      <c r="D201" s="8" t="n"/>
      <c r="E201" s="8" t="n"/>
      <c r="F201" s="8">
        <f>IF(A205="","",SUMIFS(Operatsiyalar!$I:$I,Operatsiyalar!$C:$C,A205,Operatsiyalar!$E:$E,"kirim"))</f>
        <v/>
      </c>
      <c r="G201" s="8">
        <f>IF(A205="","",SUMIFS(Operatsiyalar!$J:$J,Operatsiyalar!$C:$C,A205,Operatsiyalar!$E:$E,"kirim"))</f>
        <v/>
      </c>
      <c r="H201" s="8">
        <f>IF(A205="","",SUMIFS(Operatsiyalar!$I:$I,Operatsiyalar!$C:$C,A205,Operatsiyalar!$E:$E,"chiqim"))</f>
        <v/>
      </c>
      <c r="I201" s="8">
        <f>IF(A205="","",SUMIFS(Operatsiyalar!$J:$J,Operatsiyalar!$C:$C,A205,Operatsiyalar!$E:$E,"chiqim"))</f>
        <v/>
      </c>
      <c r="J201" s="8">
        <f>IF(A205="","",D205+H205-F205)</f>
        <v/>
      </c>
      <c r="K201" s="8">
        <f>IF(A205="","",E205+I205-G205)</f>
        <v/>
      </c>
    </row>
    <row r="202">
      <c r="A202" s="5" t="n"/>
      <c r="B202" s="5" t="n"/>
      <c r="C202" s="6" t="n"/>
      <c r="D202" s="8" t="n"/>
      <c r="E202" s="8" t="n"/>
      <c r="F202" s="8">
        <f>IF(A206="","",SUMIFS(Operatsiyalar!$I:$I,Operatsiyalar!$C:$C,A206,Operatsiyalar!$E:$E,"kirim"))</f>
        <v/>
      </c>
      <c r="G202" s="8">
        <f>IF(A206="","",SUMIFS(Operatsiyalar!$J:$J,Operatsiyalar!$C:$C,A206,Operatsiyalar!$E:$E,"kirim"))</f>
        <v/>
      </c>
      <c r="H202" s="8">
        <f>IF(A206="","",SUMIFS(Operatsiyalar!$I:$I,Operatsiyalar!$C:$C,A206,Operatsiyalar!$E:$E,"chiqim"))</f>
        <v/>
      </c>
      <c r="I202" s="8">
        <f>IF(A206="","",SUMIFS(Operatsiyalar!$J:$J,Operatsiyalar!$C:$C,A206,Operatsiyalar!$E:$E,"chiqim"))</f>
        <v/>
      </c>
      <c r="J202" s="8">
        <f>IF(A206="","",D206+H206-F206)</f>
        <v/>
      </c>
      <c r="K202" s="8">
        <f>IF(A206="","",E206+I206-G206)</f>
        <v/>
      </c>
    </row>
    <row r="203">
      <c r="A203" s="5" t="n"/>
      <c r="B203" s="5" t="n"/>
      <c r="C203" s="6" t="n"/>
      <c r="D203" s="8" t="n"/>
      <c r="E203" s="8" t="n"/>
      <c r="F203" s="8">
        <f>IF(A207="","",SUMIFS(Operatsiyalar!$I:$I,Operatsiyalar!$C:$C,A207,Operatsiyalar!$E:$E,"kirim"))</f>
        <v/>
      </c>
      <c r="G203" s="8">
        <f>IF(A207="","",SUMIFS(Operatsiyalar!$J:$J,Operatsiyalar!$C:$C,A207,Operatsiyalar!$E:$E,"kirim"))</f>
        <v/>
      </c>
      <c r="H203" s="8">
        <f>IF(A207="","",SUMIFS(Operatsiyalar!$I:$I,Operatsiyalar!$C:$C,A207,Operatsiyalar!$E:$E,"chiqim"))</f>
        <v/>
      </c>
      <c r="I203" s="8">
        <f>IF(A207="","",SUMIFS(Operatsiyalar!$J:$J,Operatsiyalar!$C:$C,A207,Operatsiyalar!$E:$E,"chiqim"))</f>
        <v/>
      </c>
      <c r="J203" s="8">
        <f>IF(A207="","",D207+H207-F207)</f>
        <v/>
      </c>
      <c r="K203" s="8">
        <f>IF(A207="","",E207+I207-G207)</f>
        <v/>
      </c>
    </row>
    <row r="204">
      <c r="A204" s="5" t="n"/>
      <c r="B204" s="5" t="n"/>
      <c r="C204" s="6" t="n"/>
      <c r="D204" s="8" t="n"/>
      <c r="E204" s="8" t="n"/>
      <c r="F204" s="8">
        <f>IF(A208="","",SUMIFS(Operatsiyalar!$I:$I,Operatsiyalar!$C:$C,A208,Operatsiyalar!$E:$E,"kirim"))</f>
        <v/>
      </c>
      <c r="G204" s="8">
        <f>IF(A208="","",SUMIFS(Operatsiyalar!$J:$J,Operatsiyalar!$C:$C,A208,Operatsiyalar!$E:$E,"kirim"))</f>
        <v/>
      </c>
      <c r="H204" s="8">
        <f>IF(A208="","",SUMIFS(Operatsiyalar!$I:$I,Operatsiyalar!$C:$C,A208,Operatsiyalar!$E:$E,"chiqim"))</f>
        <v/>
      </c>
      <c r="I204" s="8">
        <f>IF(A208="","",SUMIFS(Operatsiyalar!$J:$J,Operatsiyalar!$C:$C,A208,Operatsiyalar!$E:$E,"chiqim"))</f>
        <v/>
      </c>
      <c r="J204" s="8">
        <f>IF(A208="","",D208+H208-F208)</f>
        <v/>
      </c>
      <c r="K204" s="8">
        <f>IF(A208="","",E208+I208-G208)</f>
        <v/>
      </c>
    </row>
    <row r="205">
      <c r="A205" s="5" t="n"/>
      <c r="B205" s="5" t="n"/>
      <c r="C205" s="6" t="n"/>
      <c r="D205" s="8" t="n"/>
      <c r="E205" s="8" t="n"/>
      <c r="F205" s="8">
        <f>IF(A209="","",SUMIFS(Operatsiyalar!$I:$I,Operatsiyalar!$C:$C,A209,Operatsiyalar!$E:$E,"kirim"))</f>
        <v/>
      </c>
      <c r="G205" s="8">
        <f>IF(A209="","",SUMIFS(Operatsiyalar!$J:$J,Operatsiyalar!$C:$C,A209,Operatsiyalar!$E:$E,"kirim"))</f>
        <v/>
      </c>
      <c r="H205" s="8">
        <f>IF(A209="","",SUMIFS(Operatsiyalar!$I:$I,Operatsiyalar!$C:$C,A209,Operatsiyalar!$E:$E,"chiqim"))</f>
        <v/>
      </c>
      <c r="I205" s="8">
        <f>IF(A209="","",SUMIFS(Operatsiyalar!$J:$J,Operatsiyalar!$C:$C,A209,Operatsiyalar!$E:$E,"chiqim"))</f>
        <v/>
      </c>
      <c r="J205" s="8">
        <f>IF(A209="","",D209+H209-F209)</f>
        <v/>
      </c>
      <c r="K205" s="8">
        <f>IF(A209="","",E209+I209-G209)</f>
        <v/>
      </c>
    </row>
    <row r="206">
      <c r="A206" s="5" t="n"/>
      <c r="B206" s="5" t="n"/>
      <c r="C206" s="6" t="n"/>
      <c r="D206" s="8" t="n"/>
      <c r="E206" s="8" t="n"/>
      <c r="F206" s="8">
        <f>IF(A210="","",SUMIFS(Operatsiyalar!$I:$I,Operatsiyalar!$C:$C,A210,Operatsiyalar!$E:$E,"kirim"))</f>
        <v/>
      </c>
      <c r="G206" s="8">
        <f>IF(A210="","",SUMIFS(Operatsiyalar!$J:$J,Operatsiyalar!$C:$C,A210,Operatsiyalar!$E:$E,"kirim"))</f>
        <v/>
      </c>
      <c r="H206" s="8">
        <f>IF(A210="","",SUMIFS(Operatsiyalar!$I:$I,Operatsiyalar!$C:$C,A210,Operatsiyalar!$E:$E,"chiqim"))</f>
        <v/>
      </c>
      <c r="I206" s="8">
        <f>IF(A210="","",SUMIFS(Operatsiyalar!$J:$J,Operatsiyalar!$C:$C,A210,Operatsiyalar!$E:$E,"chiqim"))</f>
        <v/>
      </c>
      <c r="J206" s="8">
        <f>IF(A210="","",D210+H210-F210)</f>
        <v/>
      </c>
      <c r="K206" s="8">
        <f>IF(A210="","",E210+I210-G210)</f>
        <v/>
      </c>
    </row>
    <row r="207">
      <c r="A207" s="5" t="n"/>
      <c r="B207" s="5" t="n"/>
      <c r="C207" s="6" t="n"/>
      <c r="D207" s="8" t="n"/>
      <c r="E207" s="8" t="n"/>
      <c r="F207" s="8">
        <f>IF(A211="","",SUMIFS(Operatsiyalar!$I:$I,Operatsiyalar!$C:$C,A211,Operatsiyalar!$E:$E,"kirim"))</f>
        <v/>
      </c>
      <c r="G207" s="8">
        <f>IF(A211="","",SUMIFS(Operatsiyalar!$J:$J,Operatsiyalar!$C:$C,A211,Operatsiyalar!$E:$E,"kirim"))</f>
        <v/>
      </c>
      <c r="H207" s="8">
        <f>IF(A211="","",SUMIFS(Operatsiyalar!$I:$I,Operatsiyalar!$C:$C,A211,Operatsiyalar!$E:$E,"chiqim"))</f>
        <v/>
      </c>
      <c r="I207" s="8">
        <f>IF(A211="","",SUMIFS(Operatsiyalar!$J:$J,Operatsiyalar!$C:$C,A211,Operatsiyalar!$E:$E,"chiqim"))</f>
        <v/>
      </c>
      <c r="J207" s="8">
        <f>IF(A211="","",D211+H211-F211)</f>
        <v/>
      </c>
      <c r="K207" s="8">
        <f>IF(A211="","",E211+I211-G211)</f>
        <v/>
      </c>
    </row>
    <row r="208">
      <c r="A208" s="5" t="n"/>
      <c r="B208" s="5" t="n"/>
      <c r="C208" s="6" t="n"/>
      <c r="D208" s="8" t="n"/>
      <c r="E208" s="8" t="n"/>
      <c r="F208" s="8">
        <f>IF(A212="","",SUMIFS(Operatsiyalar!$I:$I,Operatsiyalar!$C:$C,A212,Operatsiyalar!$E:$E,"kirim"))</f>
        <v/>
      </c>
      <c r="G208" s="8">
        <f>IF(A212="","",SUMIFS(Operatsiyalar!$J:$J,Operatsiyalar!$C:$C,A212,Operatsiyalar!$E:$E,"kirim"))</f>
        <v/>
      </c>
      <c r="H208" s="8">
        <f>IF(A212="","",SUMIFS(Operatsiyalar!$I:$I,Operatsiyalar!$C:$C,A212,Operatsiyalar!$E:$E,"chiqim"))</f>
        <v/>
      </c>
      <c r="I208" s="8">
        <f>IF(A212="","",SUMIFS(Operatsiyalar!$J:$J,Operatsiyalar!$C:$C,A212,Operatsiyalar!$E:$E,"chiqim"))</f>
        <v/>
      </c>
      <c r="J208" s="8">
        <f>IF(A212="","",D212+H212-F212)</f>
        <v/>
      </c>
      <c r="K208" s="8">
        <f>IF(A212="","",E212+I212-G212)</f>
        <v/>
      </c>
    </row>
    <row r="209">
      <c r="A209" s="5" t="n"/>
      <c r="B209" s="5" t="n"/>
      <c r="C209" s="6" t="n"/>
      <c r="D209" s="8" t="n"/>
      <c r="E209" s="8" t="n"/>
      <c r="F209" s="8">
        <f>IF(A213="","",SUMIFS(Operatsiyalar!$I:$I,Operatsiyalar!$C:$C,A213,Operatsiyalar!$E:$E,"kirim"))</f>
        <v/>
      </c>
      <c r="G209" s="8">
        <f>IF(A213="","",SUMIFS(Operatsiyalar!$J:$J,Operatsiyalar!$C:$C,A213,Operatsiyalar!$E:$E,"kirim"))</f>
        <v/>
      </c>
      <c r="H209" s="8">
        <f>IF(A213="","",SUMIFS(Operatsiyalar!$I:$I,Operatsiyalar!$C:$C,A213,Operatsiyalar!$E:$E,"chiqim"))</f>
        <v/>
      </c>
      <c r="I209" s="8">
        <f>IF(A213="","",SUMIFS(Operatsiyalar!$J:$J,Operatsiyalar!$C:$C,A213,Operatsiyalar!$E:$E,"chiqim"))</f>
        <v/>
      </c>
      <c r="J209" s="8">
        <f>IF(A213="","",D213+H213-F213)</f>
        <v/>
      </c>
      <c r="K209" s="8">
        <f>IF(A213="","",E213+I213-G213)</f>
        <v/>
      </c>
    </row>
    <row r="210">
      <c r="A210" s="5" t="n"/>
      <c r="B210" s="5" t="n"/>
      <c r="C210" s="6" t="n"/>
      <c r="D210" s="8" t="n"/>
      <c r="E210" s="8" t="n"/>
      <c r="F210" s="8">
        <f>IF(A214="","",SUMIFS(Operatsiyalar!$I:$I,Operatsiyalar!$C:$C,A214,Operatsiyalar!$E:$E,"kirim"))</f>
        <v/>
      </c>
      <c r="G210" s="8">
        <f>IF(A214="","",SUMIFS(Operatsiyalar!$J:$J,Operatsiyalar!$C:$C,A214,Operatsiyalar!$E:$E,"kirim"))</f>
        <v/>
      </c>
      <c r="H210" s="8">
        <f>IF(A214="","",SUMIFS(Operatsiyalar!$I:$I,Operatsiyalar!$C:$C,A214,Operatsiyalar!$E:$E,"chiqim"))</f>
        <v/>
      </c>
      <c r="I210" s="8">
        <f>IF(A214="","",SUMIFS(Operatsiyalar!$J:$J,Operatsiyalar!$C:$C,A214,Operatsiyalar!$E:$E,"chiqim"))</f>
        <v/>
      </c>
      <c r="J210" s="8">
        <f>IF(A214="","",D214+H214-F214)</f>
        <v/>
      </c>
      <c r="K210" s="8">
        <f>IF(A214="","",E214+I214-G214)</f>
        <v/>
      </c>
    </row>
    <row r="211">
      <c r="A211" s="5" t="n"/>
      <c r="B211" s="5" t="n"/>
      <c r="C211" s="6" t="n"/>
      <c r="D211" s="8" t="n"/>
      <c r="E211" s="8" t="n"/>
      <c r="F211" s="8">
        <f>IF(A215="","",SUMIFS(Operatsiyalar!$I:$I,Operatsiyalar!$C:$C,A215,Operatsiyalar!$E:$E,"kirim"))</f>
        <v/>
      </c>
      <c r="G211" s="8">
        <f>IF(A215="","",SUMIFS(Operatsiyalar!$J:$J,Operatsiyalar!$C:$C,A215,Operatsiyalar!$E:$E,"kirim"))</f>
        <v/>
      </c>
      <c r="H211" s="8">
        <f>IF(A215="","",SUMIFS(Operatsiyalar!$I:$I,Operatsiyalar!$C:$C,A215,Operatsiyalar!$E:$E,"chiqim"))</f>
        <v/>
      </c>
      <c r="I211" s="8">
        <f>IF(A215="","",SUMIFS(Operatsiyalar!$J:$J,Operatsiyalar!$C:$C,A215,Operatsiyalar!$E:$E,"chiqim"))</f>
        <v/>
      </c>
      <c r="J211" s="8">
        <f>IF(A215="","",D215+H215-F215)</f>
        <v/>
      </c>
      <c r="K211" s="8">
        <f>IF(A215="","",E215+I215-G215)</f>
        <v/>
      </c>
    </row>
    <row r="212">
      <c r="A212" s="5" t="n"/>
      <c r="B212" s="5" t="n"/>
      <c r="C212" s="6" t="n"/>
      <c r="D212" s="8" t="n"/>
      <c r="E212" s="8" t="n"/>
      <c r="F212" s="8">
        <f>IF(A216="","",SUMIFS(Operatsiyalar!$I:$I,Operatsiyalar!$C:$C,A216,Operatsiyalar!$E:$E,"kirim"))</f>
        <v/>
      </c>
      <c r="G212" s="8">
        <f>IF(A216="","",SUMIFS(Operatsiyalar!$J:$J,Operatsiyalar!$C:$C,A216,Operatsiyalar!$E:$E,"kirim"))</f>
        <v/>
      </c>
      <c r="H212" s="8">
        <f>IF(A216="","",SUMIFS(Operatsiyalar!$I:$I,Operatsiyalar!$C:$C,A216,Operatsiyalar!$E:$E,"chiqim"))</f>
        <v/>
      </c>
      <c r="I212" s="8">
        <f>IF(A216="","",SUMIFS(Operatsiyalar!$J:$J,Operatsiyalar!$C:$C,A216,Operatsiyalar!$E:$E,"chiqim"))</f>
        <v/>
      </c>
      <c r="J212" s="8">
        <f>IF(A216="","",D216+H216-F216)</f>
        <v/>
      </c>
      <c r="K212" s="8">
        <f>IF(A216="","",E216+I216-G216)</f>
        <v/>
      </c>
    </row>
    <row r="213">
      <c r="A213" s="5" t="n"/>
      <c r="B213" s="5" t="n"/>
      <c r="C213" s="6" t="n"/>
      <c r="D213" s="8" t="n"/>
      <c r="E213" s="8" t="n"/>
      <c r="F213" s="8">
        <f>IF(A217="","",SUMIFS(Operatsiyalar!$I:$I,Operatsiyalar!$C:$C,A217,Operatsiyalar!$E:$E,"kirim"))</f>
        <v/>
      </c>
      <c r="G213" s="8">
        <f>IF(A217="","",SUMIFS(Operatsiyalar!$J:$J,Operatsiyalar!$C:$C,A217,Operatsiyalar!$E:$E,"kirim"))</f>
        <v/>
      </c>
      <c r="H213" s="8">
        <f>IF(A217="","",SUMIFS(Operatsiyalar!$I:$I,Operatsiyalar!$C:$C,A217,Operatsiyalar!$E:$E,"chiqim"))</f>
        <v/>
      </c>
      <c r="I213" s="8">
        <f>IF(A217="","",SUMIFS(Operatsiyalar!$J:$J,Operatsiyalar!$C:$C,A217,Operatsiyalar!$E:$E,"chiqim"))</f>
        <v/>
      </c>
      <c r="J213" s="8">
        <f>IF(A217="","",D217+H217-F217)</f>
        <v/>
      </c>
      <c r="K213" s="8">
        <f>IF(A217="","",E217+I217-G217)</f>
        <v/>
      </c>
    </row>
    <row r="214">
      <c r="A214" s="5" t="n"/>
      <c r="B214" s="5" t="n"/>
      <c r="C214" s="6" t="n"/>
      <c r="D214" s="8" t="n"/>
      <c r="E214" s="8" t="n"/>
      <c r="F214" s="8">
        <f>IF(A218="","",SUMIFS(Operatsiyalar!$I:$I,Operatsiyalar!$C:$C,A218,Operatsiyalar!$E:$E,"kirim"))</f>
        <v/>
      </c>
      <c r="G214" s="8">
        <f>IF(A218="","",SUMIFS(Operatsiyalar!$J:$J,Operatsiyalar!$C:$C,A218,Operatsiyalar!$E:$E,"kirim"))</f>
        <v/>
      </c>
      <c r="H214" s="8">
        <f>IF(A218="","",SUMIFS(Operatsiyalar!$I:$I,Operatsiyalar!$C:$C,A218,Operatsiyalar!$E:$E,"chiqim"))</f>
        <v/>
      </c>
      <c r="I214" s="8">
        <f>IF(A218="","",SUMIFS(Operatsiyalar!$J:$J,Operatsiyalar!$C:$C,A218,Operatsiyalar!$E:$E,"chiqim"))</f>
        <v/>
      </c>
      <c r="J214" s="8">
        <f>IF(A218="","",D218+H218-F218)</f>
        <v/>
      </c>
      <c r="K214" s="8">
        <f>IF(A218="","",E218+I218-G218)</f>
        <v/>
      </c>
    </row>
    <row r="215">
      <c r="A215" s="5" t="n"/>
      <c r="B215" s="5" t="n"/>
      <c r="C215" s="6" t="n"/>
      <c r="D215" s="8" t="n"/>
      <c r="E215" s="8" t="n"/>
      <c r="F215" s="8">
        <f>IF(A219="","",SUMIFS(Operatsiyalar!$I:$I,Operatsiyalar!$C:$C,A219,Operatsiyalar!$E:$E,"kirim"))</f>
        <v/>
      </c>
      <c r="G215" s="8">
        <f>IF(A219="","",SUMIFS(Operatsiyalar!$J:$J,Operatsiyalar!$C:$C,A219,Operatsiyalar!$E:$E,"kirim"))</f>
        <v/>
      </c>
      <c r="H215" s="8">
        <f>IF(A219="","",SUMIFS(Operatsiyalar!$I:$I,Operatsiyalar!$C:$C,A219,Operatsiyalar!$E:$E,"chiqim"))</f>
        <v/>
      </c>
      <c r="I215" s="8">
        <f>IF(A219="","",SUMIFS(Operatsiyalar!$J:$J,Operatsiyalar!$C:$C,A219,Operatsiyalar!$E:$E,"chiqim"))</f>
        <v/>
      </c>
      <c r="J215" s="8">
        <f>IF(A219="","",D219+H219-F219)</f>
        <v/>
      </c>
      <c r="K215" s="8">
        <f>IF(A219="","",E219+I219-G219)</f>
        <v/>
      </c>
    </row>
    <row r="216">
      <c r="A216" s="5" t="n"/>
      <c r="B216" s="5" t="n"/>
      <c r="C216" s="6" t="n"/>
      <c r="D216" s="8" t="n"/>
      <c r="E216" s="8" t="n"/>
      <c r="F216" s="8">
        <f>IF(A220="","",SUMIFS(Operatsiyalar!$I:$I,Operatsiyalar!$C:$C,A220,Operatsiyalar!$E:$E,"kirim"))</f>
        <v/>
      </c>
      <c r="G216" s="8">
        <f>IF(A220="","",SUMIFS(Operatsiyalar!$J:$J,Operatsiyalar!$C:$C,A220,Operatsiyalar!$E:$E,"kirim"))</f>
        <v/>
      </c>
      <c r="H216" s="8">
        <f>IF(A220="","",SUMIFS(Operatsiyalar!$I:$I,Operatsiyalar!$C:$C,A220,Operatsiyalar!$E:$E,"chiqim"))</f>
        <v/>
      </c>
      <c r="I216" s="8">
        <f>IF(A220="","",SUMIFS(Operatsiyalar!$J:$J,Operatsiyalar!$C:$C,A220,Operatsiyalar!$E:$E,"chiqim"))</f>
        <v/>
      </c>
      <c r="J216" s="8">
        <f>IF(A220="","",D220+H220-F220)</f>
        <v/>
      </c>
      <c r="K216" s="8">
        <f>IF(A220="","",E220+I220-G220)</f>
        <v/>
      </c>
    </row>
    <row r="217">
      <c r="A217" s="5" t="n"/>
      <c r="B217" s="5" t="n"/>
      <c r="C217" s="6" t="n"/>
      <c r="D217" s="8" t="n"/>
      <c r="E217" s="8" t="n"/>
      <c r="F217" s="8">
        <f>IF(A221="","",SUMIFS(Operatsiyalar!$I:$I,Operatsiyalar!$C:$C,A221,Operatsiyalar!$E:$E,"kirim"))</f>
        <v/>
      </c>
      <c r="G217" s="8">
        <f>IF(A221="","",SUMIFS(Operatsiyalar!$J:$J,Operatsiyalar!$C:$C,A221,Operatsiyalar!$E:$E,"kirim"))</f>
        <v/>
      </c>
      <c r="H217" s="8">
        <f>IF(A221="","",SUMIFS(Operatsiyalar!$I:$I,Operatsiyalar!$C:$C,A221,Operatsiyalar!$E:$E,"chiqim"))</f>
        <v/>
      </c>
      <c r="I217" s="8">
        <f>IF(A221="","",SUMIFS(Operatsiyalar!$J:$J,Operatsiyalar!$C:$C,A221,Operatsiyalar!$E:$E,"chiqim"))</f>
        <v/>
      </c>
      <c r="J217" s="8">
        <f>IF(A221="","",D221+H221-F221)</f>
        <v/>
      </c>
      <c r="K217" s="8">
        <f>IF(A221="","",E221+I221-G221)</f>
        <v/>
      </c>
    </row>
    <row r="218">
      <c r="A218" s="5" t="n"/>
      <c r="B218" s="5" t="n"/>
      <c r="C218" s="6" t="n"/>
      <c r="D218" s="8" t="n"/>
      <c r="E218" s="8" t="n"/>
      <c r="F218" s="8">
        <f>IF(A222="","",SUMIFS(Operatsiyalar!$I:$I,Operatsiyalar!$C:$C,A222,Operatsiyalar!$E:$E,"kirim"))</f>
        <v/>
      </c>
      <c r="G218" s="8">
        <f>IF(A222="","",SUMIFS(Operatsiyalar!$J:$J,Operatsiyalar!$C:$C,A222,Operatsiyalar!$E:$E,"kirim"))</f>
        <v/>
      </c>
      <c r="H218" s="8">
        <f>IF(A222="","",SUMIFS(Operatsiyalar!$I:$I,Operatsiyalar!$C:$C,A222,Operatsiyalar!$E:$E,"chiqim"))</f>
        <v/>
      </c>
      <c r="I218" s="8">
        <f>IF(A222="","",SUMIFS(Operatsiyalar!$J:$J,Operatsiyalar!$C:$C,A222,Operatsiyalar!$E:$E,"chiqim"))</f>
        <v/>
      </c>
      <c r="J218" s="8">
        <f>IF(A222="","",D222+H222-F222)</f>
        <v/>
      </c>
      <c r="K218" s="8">
        <f>IF(A222="","",E222+I222-G222)</f>
        <v/>
      </c>
    </row>
    <row r="219">
      <c r="A219" s="5" t="n"/>
      <c r="B219" s="5" t="n"/>
      <c r="C219" s="6" t="n"/>
      <c r="D219" s="8" t="n"/>
      <c r="E219" s="8" t="n"/>
      <c r="F219" s="8">
        <f>IF(A223="","",SUMIFS(Operatsiyalar!$I:$I,Operatsiyalar!$C:$C,A223,Operatsiyalar!$E:$E,"kirim"))</f>
        <v/>
      </c>
      <c r="G219" s="8">
        <f>IF(A223="","",SUMIFS(Operatsiyalar!$J:$J,Operatsiyalar!$C:$C,A223,Operatsiyalar!$E:$E,"kirim"))</f>
        <v/>
      </c>
      <c r="H219" s="8">
        <f>IF(A223="","",SUMIFS(Operatsiyalar!$I:$I,Operatsiyalar!$C:$C,A223,Operatsiyalar!$E:$E,"chiqim"))</f>
        <v/>
      </c>
      <c r="I219" s="8">
        <f>IF(A223="","",SUMIFS(Operatsiyalar!$J:$J,Operatsiyalar!$C:$C,A223,Operatsiyalar!$E:$E,"chiqim"))</f>
        <v/>
      </c>
      <c r="J219" s="8">
        <f>IF(A223="","",D223+H223-F223)</f>
        <v/>
      </c>
      <c r="K219" s="8">
        <f>IF(A223="","",E223+I223-G223)</f>
        <v/>
      </c>
    </row>
    <row r="220">
      <c r="A220" s="5" t="n"/>
      <c r="B220" s="5" t="n"/>
      <c r="C220" s="6" t="n"/>
      <c r="D220" s="8" t="n"/>
      <c r="E220" s="8" t="n"/>
      <c r="F220" s="8">
        <f>IF(A224="","",SUMIFS(Operatsiyalar!$I:$I,Operatsiyalar!$C:$C,A224,Operatsiyalar!$E:$E,"kirim"))</f>
        <v/>
      </c>
      <c r="G220" s="8">
        <f>IF(A224="","",SUMIFS(Operatsiyalar!$J:$J,Operatsiyalar!$C:$C,A224,Operatsiyalar!$E:$E,"kirim"))</f>
        <v/>
      </c>
      <c r="H220" s="8">
        <f>IF(A224="","",SUMIFS(Operatsiyalar!$I:$I,Operatsiyalar!$C:$C,A224,Operatsiyalar!$E:$E,"chiqim"))</f>
        <v/>
      </c>
      <c r="I220" s="8">
        <f>IF(A224="","",SUMIFS(Operatsiyalar!$J:$J,Operatsiyalar!$C:$C,A224,Operatsiyalar!$E:$E,"chiqim"))</f>
        <v/>
      </c>
      <c r="J220" s="8">
        <f>IF(A224="","",D224+H224-F224)</f>
        <v/>
      </c>
      <c r="K220" s="8">
        <f>IF(A224="","",E224+I224-G224)</f>
        <v/>
      </c>
    </row>
    <row r="221">
      <c r="A221" s="5" t="n"/>
      <c r="B221" s="5" t="n"/>
      <c r="C221" s="6" t="n"/>
      <c r="D221" s="8" t="n"/>
      <c r="E221" s="8" t="n"/>
      <c r="F221" s="8">
        <f>IF(A225="","",SUMIFS(Operatsiyalar!$I:$I,Operatsiyalar!$C:$C,A225,Operatsiyalar!$E:$E,"kirim"))</f>
        <v/>
      </c>
      <c r="G221" s="8">
        <f>IF(A225="","",SUMIFS(Operatsiyalar!$J:$J,Operatsiyalar!$C:$C,A225,Operatsiyalar!$E:$E,"kirim"))</f>
        <v/>
      </c>
      <c r="H221" s="8">
        <f>IF(A225="","",SUMIFS(Operatsiyalar!$I:$I,Operatsiyalar!$C:$C,A225,Operatsiyalar!$E:$E,"chiqim"))</f>
        <v/>
      </c>
      <c r="I221" s="8">
        <f>IF(A225="","",SUMIFS(Operatsiyalar!$J:$J,Operatsiyalar!$C:$C,A225,Operatsiyalar!$E:$E,"chiqim"))</f>
        <v/>
      </c>
      <c r="J221" s="8">
        <f>IF(A225="","",D225+H225-F225)</f>
        <v/>
      </c>
      <c r="K221" s="8">
        <f>IF(A225="","",E225+I225-G225)</f>
        <v/>
      </c>
    </row>
    <row r="222">
      <c r="A222" s="5" t="n"/>
      <c r="B222" s="5" t="n"/>
      <c r="C222" s="6" t="n"/>
      <c r="D222" s="8" t="n"/>
      <c r="E222" s="8" t="n"/>
      <c r="F222" s="8">
        <f>IF(A226="","",SUMIFS(Operatsiyalar!$I:$I,Operatsiyalar!$C:$C,A226,Operatsiyalar!$E:$E,"kirim"))</f>
        <v/>
      </c>
      <c r="G222" s="8">
        <f>IF(A226="","",SUMIFS(Operatsiyalar!$J:$J,Operatsiyalar!$C:$C,A226,Operatsiyalar!$E:$E,"kirim"))</f>
        <v/>
      </c>
      <c r="H222" s="8">
        <f>IF(A226="","",SUMIFS(Operatsiyalar!$I:$I,Operatsiyalar!$C:$C,A226,Operatsiyalar!$E:$E,"chiqim"))</f>
        <v/>
      </c>
      <c r="I222" s="8">
        <f>IF(A226="","",SUMIFS(Operatsiyalar!$J:$J,Operatsiyalar!$C:$C,A226,Operatsiyalar!$E:$E,"chiqim"))</f>
        <v/>
      </c>
      <c r="J222" s="8">
        <f>IF(A226="","",D226+H226-F226)</f>
        <v/>
      </c>
      <c r="K222" s="8">
        <f>IF(A226="","",E226+I226-G226)</f>
        <v/>
      </c>
    </row>
    <row r="223">
      <c r="A223" s="5" t="n"/>
      <c r="B223" s="5" t="n"/>
      <c r="C223" s="6" t="n"/>
      <c r="D223" s="8" t="n"/>
      <c r="E223" s="8" t="n"/>
      <c r="F223" s="8">
        <f>IF(A227="","",SUMIFS(Operatsiyalar!$I:$I,Operatsiyalar!$C:$C,A227,Operatsiyalar!$E:$E,"kirim"))</f>
        <v/>
      </c>
      <c r="G223" s="8">
        <f>IF(A227="","",SUMIFS(Operatsiyalar!$J:$J,Operatsiyalar!$C:$C,A227,Operatsiyalar!$E:$E,"kirim"))</f>
        <v/>
      </c>
      <c r="H223" s="8">
        <f>IF(A227="","",SUMIFS(Operatsiyalar!$I:$I,Operatsiyalar!$C:$C,A227,Operatsiyalar!$E:$E,"chiqim"))</f>
        <v/>
      </c>
      <c r="I223" s="8">
        <f>IF(A227="","",SUMIFS(Operatsiyalar!$J:$J,Operatsiyalar!$C:$C,A227,Operatsiyalar!$E:$E,"chiqim"))</f>
        <v/>
      </c>
      <c r="J223" s="8">
        <f>IF(A227="","",D227+H227-F227)</f>
        <v/>
      </c>
      <c r="K223" s="8">
        <f>IF(A227="","",E227+I227-G227)</f>
        <v/>
      </c>
    </row>
    <row r="224">
      <c r="A224" s="5" t="n"/>
      <c r="B224" s="5" t="n"/>
      <c r="C224" s="6" t="n"/>
      <c r="D224" s="8" t="n"/>
      <c r="E224" s="8" t="n"/>
      <c r="F224" s="8">
        <f>IF(A228="","",SUMIFS(Operatsiyalar!$I:$I,Operatsiyalar!$C:$C,A228,Operatsiyalar!$E:$E,"kirim"))</f>
        <v/>
      </c>
      <c r="G224" s="8">
        <f>IF(A228="","",SUMIFS(Operatsiyalar!$J:$J,Operatsiyalar!$C:$C,A228,Operatsiyalar!$E:$E,"kirim"))</f>
        <v/>
      </c>
      <c r="H224" s="8">
        <f>IF(A228="","",SUMIFS(Operatsiyalar!$I:$I,Operatsiyalar!$C:$C,A228,Operatsiyalar!$E:$E,"chiqim"))</f>
        <v/>
      </c>
      <c r="I224" s="8">
        <f>IF(A228="","",SUMIFS(Operatsiyalar!$J:$J,Operatsiyalar!$C:$C,A228,Operatsiyalar!$E:$E,"chiqim"))</f>
        <v/>
      </c>
      <c r="J224" s="8">
        <f>IF(A228="","",D228+H228-F228)</f>
        <v/>
      </c>
      <c r="K224" s="8">
        <f>IF(A228="","",E228+I228-G228)</f>
        <v/>
      </c>
    </row>
    <row r="225">
      <c r="A225" s="5" t="n"/>
      <c r="B225" s="5" t="n"/>
      <c r="C225" s="6" t="n"/>
      <c r="D225" s="8" t="n"/>
      <c r="E225" s="8" t="n"/>
      <c r="F225" s="8">
        <f>IF(A229="","",SUMIFS(Operatsiyalar!$I:$I,Operatsiyalar!$C:$C,A229,Operatsiyalar!$E:$E,"kirim"))</f>
        <v/>
      </c>
      <c r="G225" s="8">
        <f>IF(A229="","",SUMIFS(Operatsiyalar!$J:$J,Operatsiyalar!$C:$C,A229,Operatsiyalar!$E:$E,"kirim"))</f>
        <v/>
      </c>
      <c r="H225" s="8">
        <f>IF(A229="","",SUMIFS(Operatsiyalar!$I:$I,Operatsiyalar!$C:$C,A229,Operatsiyalar!$E:$E,"chiqim"))</f>
        <v/>
      </c>
      <c r="I225" s="8">
        <f>IF(A229="","",SUMIFS(Operatsiyalar!$J:$J,Operatsiyalar!$C:$C,A229,Operatsiyalar!$E:$E,"chiqim"))</f>
        <v/>
      </c>
      <c r="J225" s="8">
        <f>IF(A229="","",D229+H229-F229)</f>
        <v/>
      </c>
      <c r="K225" s="8">
        <f>IF(A229="","",E229+I229-G229)</f>
        <v/>
      </c>
    </row>
    <row r="226">
      <c r="A226" s="5" t="n"/>
      <c r="B226" s="5" t="n"/>
      <c r="C226" s="6" t="n"/>
      <c r="D226" s="8" t="n"/>
      <c r="E226" s="8" t="n"/>
      <c r="F226" s="8">
        <f>IF(A230="","",SUMIFS(Operatsiyalar!$I:$I,Operatsiyalar!$C:$C,A230,Operatsiyalar!$E:$E,"kirim"))</f>
        <v/>
      </c>
      <c r="G226" s="8">
        <f>IF(A230="","",SUMIFS(Operatsiyalar!$J:$J,Operatsiyalar!$C:$C,A230,Operatsiyalar!$E:$E,"kirim"))</f>
        <v/>
      </c>
      <c r="H226" s="8">
        <f>IF(A230="","",SUMIFS(Operatsiyalar!$I:$I,Operatsiyalar!$C:$C,A230,Operatsiyalar!$E:$E,"chiqim"))</f>
        <v/>
      </c>
      <c r="I226" s="8">
        <f>IF(A230="","",SUMIFS(Operatsiyalar!$J:$J,Operatsiyalar!$C:$C,A230,Operatsiyalar!$E:$E,"chiqim"))</f>
        <v/>
      </c>
      <c r="J226" s="8">
        <f>IF(A230="","",D230+H230-F230)</f>
        <v/>
      </c>
      <c r="K226" s="8">
        <f>IF(A230="","",E230+I230-G230)</f>
        <v/>
      </c>
    </row>
    <row r="227">
      <c r="A227" s="5" t="n"/>
      <c r="B227" s="5" t="n"/>
      <c r="C227" s="6" t="n"/>
      <c r="D227" s="8" t="n"/>
      <c r="E227" s="8" t="n"/>
      <c r="F227" s="8">
        <f>IF(A231="","",SUMIFS(Operatsiyalar!$I:$I,Operatsiyalar!$C:$C,A231,Operatsiyalar!$E:$E,"kirim"))</f>
        <v/>
      </c>
      <c r="G227" s="8">
        <f>IF(A231="","",SUMIFS(Operatsiyalar!$J:$J,Operatsiyalar!$C:$C,A231,Operatsiyalar!$E:$E,"kirim"))</f>
        <v/>
      </c>
      <c r="H227" s="8">
        <f>IF(A231="","",SUMIFS(Operatsiyalar!$I:$I,Operatsiyalar!$C:$C,A231,Operatsiyalar!$E:$E,"chiqim"))</f>
        <v/>
      </c>
      <c r="I227" s="8">
        <f>IF(A231="","",SUMIFS(Operatsiyalar!$J:$J,Operatsiyalar!$C:$C,A231,Operatsiyalar!$E:$E,"chiqim"))</f>
        <v/>
      </c>
      <c r="J227" s="8">
        <f>IF(A231="","",D231+H231-F231)</f>
        <v/>
      </c>
      <c r="K227" s="8">
        <f>IF(A231="","",E231+I231-G231)</f>
        <v/>
      </c>
    </row>
    <row r="228">
      <c r="A228" s="5" t="n"/>
      <c r="B228" s="5" t="n"/>
      <c r="C228" s="6" t="n"/>
      <c r="D228" s="8" t="n"/>
      <c r="E228" s="8" t="n"/>
      <c r="F228" s="8">
        <f>IF(A232="","",SUMIFS(Operatsiyalar!$I:$I,Operatsiyalar!$C:$C,A232,Operatsiyalar!$E:$E,"kirim"))</f>
        <v/>
      </c>
      <c r="G228" s="8">
        <f>IF(A232="","",SUMIFS(Operatsiyalar!$J:$J,Operatsiyalar!$C:$C,A232,Operatsiyalar!$E:$E,"kirim"))</f>
        <v/>
      </c>
      <c r="H228" s="8">
        <f>IF(A232="","",SUMIFS(Operatsiyalar!$I:$I,Operatsiyalar!$C:$C,A232,Operatsiyalar!$E:$E,"chiqim"))</f>
        <v/>
      </c>
      <c r="I228" s="8">
        <f>IF(A232="","",SUMIFS(Operatsiyalar!$J:$J,Operatsiyalar!$C:$C,A232,Operatsiyalar!$E:$E,"chiqim"))</f>
        <v/>
      </c>
      <c r="J228" s="8">
        <f>IF(A232="","",D232+H232-F232)</f>
        <v/>
      </c>
      <c r="K228" s="8">
        <f>IF(A232="","",E232+I232-G232)</f>
        <v/>
      </c>
    </row>
    <row r="229">
      <c r="A229" s="5" t="n"/>
      <c r="B229" s="5" t="n"/>
      <c r="C229" s="6" t="n"/>
      <c r="D229" s="8" t="n"/>
      <c r="E229" s="8" t="n"/>
      <c r="F229" s="8">
        <f>IF(A233="","",SUMIFS(Operatsiyalar!$I:$I,Operatsiyalar!$C:$C,A233,Operatsiyalar!$E:$E,"kirim"))</f>
        <v/>
      </c>
      <c r="G229" s="8">
        <f>IF(A233="","",SUMIFS(Operatsiyalar!$J:$J,Operatsiyalar!$C:$C,A233,Operatsiyalar!$E:$E,"kirim"))</f>
        <v/>
      </c>
      <c r="H229" s="8">
        <f>IF(A233="","",SUMIFS(Operatsiyalar!$I:$I,Operatsiyalar!$C:$C,A233,Operatsiyalar!$E:$E,"chiqim"))</f>
        <v/>
      </c>
      <c r="I229" s="8">
        <f>IF(A233="","",SUMIFS(Operatsiyalar!$J:$J,Operatsiyalar!$C:$C,A233,Operatsiyalar!$E:$E,"chiqim"))</f>
        <v/>
      </c>
      <c r="J229" s="8">
        <f>IF(A233="","",D233+H233-F233)</f>
        <v/>
      </c>
      <c r="K229" s="8">
        <f>IF(A233="","",E233+I233-G233)</f>
        <v/>
      </c>
    </row>
    <row r="230">
      <c r="A230" s="5" t="n"/>
      <c r="B230" s="5" t="n"/>
      <c r="C230" s="6" t="n"/>
      <c r="D230" s="8" t="n"/>
      <c r="E230" s="8" t="n"/>
      <c r="F230" s="8">
        <f>IF(A234="","",SUMIFS(Operatsiyalar!$I:$I,Operatsiyalar!$C:$C,A234,Operatsiyalar!$E:$E,"kirim"))</f>
        <v/>
      </c>
      <c r="G230" s="8">
        <f>IF(A234="","",SUMIFS(Operatsiyalar!$J:$J,Operatsiyalar!$C:$C,A234,Operatsiyalar!$E:$E,"kirim"))</f>
        <v/>
      </c>
      <c r="H230" s="8">
        <f>IF(A234="","",SUMIFS(Operatsiyalar!$I:$I,Operatsiyalar!$C:$C,A234,Operatsiyalar!$E:$E,"chiqim"))</f>
        <v/>
      </c>
      <c r="I230" s="8">
        <f>IF(A234="","",SUMIFS(Operatsiyalar!$J:$J,Operatsiyalar!$C:$C,A234,Operatsiyalar!$E:$E,"chiqim"))</f>
        <v/>
      </c>
      <c r="J230" s="8">
        <f>IF(A234="","",D234+H234-F234)</f>
        <v/>
      </c>
      <c r="K230" s="8">
        <f>IF(A234="","",E234+I234-G234)</f>
        <v/>
      </c>
    </row>
    <row r="231">
      <c r="A231" s="5" t="n"/>
      <c r="B231" s="5" t="n"/>
      <c r="C231" s="6" t="n"/>
      <c r="D231" s="8" t="n"/>
      <c r="E231" s="8" t="n"/>
      <c r="F231" s="8">
        <f>IF(A235="","",SUMIFS(Operatsiyalar!$I:$I,Operatsiyalar!$C:$C,A235,Operatsiyalar!$E:$E,"kirim"))</f>
        <v/>
      </c>
      <c r="G231" s="8">
        <f>IF(A235="","",SUMIFS(Operatsiyalar!$J:$J,Operatsiyalar!$C:$C,A235,Operatsiyalar!$E:$E,"kirim"))</f>
        <v/>
      </c>
      <c r="H231" s="8">
        <f>IF(A235="","",SUMIFS(Operatsiyalar!$I:$I,Operatsiyalar!$C:$C,A235,Operatsiyalar!$E:$E,"chiqim"))</f>
        <v/>
      </c>
      <c r="I231" s="8">
        <f>IF(A235="","",SUMIFS(Operatsiyalar!$J:$J,Operatsiyalar!$C:$C,A235,Operatsiyalar!$E:$E,"chiqim"))</f>
        <v/>
      </c>
      <c r="J231" s="8">
        <f>IF(A235="","",D235+H235-F235)</f>
        <v/>
      </c>
      <c r="K231" s="8">
        <f>IF(A235="","",E235+I235-G235)</f>
        <v/>
      </c>
    </row>
    <row r="232">
      <c r="A232" s="5" t="n"/>
      <c r="B232" s="5" t="n"/>
      <c r="C232" s="6" t="n"/>
      <c r="D232" s="8" t="n"/>
      <c r="E232" s="8" t="n"/>
      <c r="F232" s="8">
        <f>IF(A236="","",SUMIFS(Operatsiyalar!$I:$I,Operatsiyalar!$C:$C,A236,Operatsiyalar!$E:$E,"kirim"))</f>
        <v/>
      </c>
      <c r="G232" s="8">
        <f>IF(A236="","",SUMIFS(Operatsiyalar!$J:$J,Operatsiyalar!$C:$C,A236,Operatsiyalar!$E:$E,"kirim"))</f>
        <v/>
      </c>
      <c r="H232" s="8">
        <f>IF(A236="","",SUMIFS(Operatsiyalar!$I:$I,Operatsiyalar!$C:$C,A236,Operatsiyalar!$E:$E,"chiqim"))</f>
        <v/>
      </c>
      <c r="I232" s="8">
        <f>IF(A236="","",SUMIFS(Operatsiyalar!$J:$J,Operatsiyalar!$C:$C,A236,Operatsiyalar!$E:$E,"chiqim"))</f>
        <v/>
      </c>
      <c r="J232" s="8">
        <f>IF(A236="","",D236+H236-F236)</f>
        <v/>
      </c>
      <c r="K232" s="8">
        <f>IF(A236="","",E236+I236-G236)</f>
        <v/>
      </c>
    </row>
    <row r="233">
      <c r="A233" s="5" t="n"/>
      <c r="B233" s="5" t="n"/>
      <c r="C233" s="6" t="n"/>
      <c r="D233" s="8" t="n"/>
      <c r="E233" s="8" t="n"/>
      <c r="F233" s="8">
        <f>IF(A237="","",SUMIFS(Operatsiyalar!$I:$I,Operatsiyalar!$C:$C,A237,Operatsiyalar!$E:$E,"kirim"))</f>
        <v/>
      </c>
      <c r="G233" s="8">
        <f>IF(A237="","",SUMIFS(Operatsiyalar!$J:$J,Operatsiyalar!$C:$C,A237,Operatsiyalar!$E:$E,"kirim"))</f>
        <v/>
      </c>
      <c r="H233" s="8">
        <f>IF(A237="","",SUMIFS(Operatsiyalar!$I:$I,Operatsiyalar!$C:$C,A237,Operatsiyalar!$E:$E,"chiqim"))</f>
        <v/>
      </c>
      <c r="I233" s="8">
        <f>IF(A237="","",SUMIFS(Operatsiyalar!$J:$J,Operatsiyalar!$C:$C,A237,Operatsiyalar!$E:$E,"chiqim"))</f>
        <v/>
      </c>
      <c r="J233" s="8">
        <f>IF(A237="","",D237+H237-F237)</f>
        <v/>
      </c>
      <c r="K233" s="8">
        <f>IF(A237="","",E237+I237-G237)</f>
        <v/>
      </c>
    </row>
    <row r="234">
      <c r="A234" s="5" t="n"/>
      <c r="B234" s="5" t="n"/>
      <c r="C234" s="6" t="n"/>
      <c r="D234" s="8" t="n"/>
      <c r="E234" s="8" t="n"/>
      <c r="F234" s="8">
        <f>IF(A238="","",SUMIFS(Operatsiyalar!$I:$I,Operatsiyalar!$C:$C,A238,Operatsiyalar!$E:$E,"kirim"))</f>
        <v/>
      </c>
      <c r="G234" s="8">
        <f>IF(A238="","",SUMIFS(Operatsiyalar!$J:$J,Operatsiyalar!$C:$C,A238,Operatsiyalar!$E:$E,"kirim"))</f>
        <v/>
      </c>
      <c r="H234" s="8">
        <f>IF(A238="","",SUMIFS(Operatsiyalar!$I:$I,Operatsiyalar!$C:$C,A238,Operatsiyalar!$E:$E,"chiqim"))</f>
        <v/>
      </c>
      <c r="I234" s="8">
        <f>IF(A238="","",SUMIFS(Operatsiyalar!$J:$J,Operatsiyalar!$C:$C,A238,Operatsiyalar!$E:$E,"chiqim"))</f>
        <v/>
      </c>
      <c r="J234" s="8">
        <f>IF(A238="","",D238+H238-F238)</f>
        <v/>
      </c>
      <c r="K234" s="8">
        <f>IF(A238="","",E238+I238-G238)</f>
        <v/>
      </c>
    </row>
    <row r="235">
      <c r="A235" s="5" t="n"/>
      <c r="B235" s="5" t="n"/>
      <c r="C235" s="6" t="n"/>
      <c r="D235" s="8" t="n"/>
      <c r="E235" s="8" t="n"/>
      <c r="F235" s="8">
        <f>IF(A239="","",SUMIFS(Operatsiyalar!$I:$I,Operatsiyalar!$C:$C,A239,Operatsiyalar!$E:$E,"kirim"))</f>
        <v/>
      </c>
      <c r="G235" s="8">
        <f>IF(A239="","",SUMIFS(Operatsiyalar!$J:$J,Operatsiyalar!$C:$C,A239,Operatsiyalar!$E:$E,"kirim"))</f>
        <v/>
      </c>
      <c r="H235" s="8">
        <f>IF(A239="","",SUMIFS(Operatsiyalar!$I:$I,Operatsiyalar!$C:$C,A239,Operatsiyalar!$E:$E,"chiqim"))</f>
        <v/>
      </c>
      <c r="I235" s="8">
        <f>IF(A239="","",SUMIFS(Operatsiyalar!$J:$J,Operatsiyalar!$C:$C,A239,Operatsiyalar!$E:$E,"chiqim"))</f>
        <v/>
      </c>
      <c r="J235" s="8">
        <f>IF(A239="","",D239+H239-F239)</f>
        <v/>
      </c>
      <c r="K235" s="8">
        <f>IF(A239="","",E239+I239-G239)</f>
        <v/>
      </c>
    </row>
    <row r="236">
      <c r="A236" s="5" t="n"/>
      <c r="B236" s="5" t="n"/>
      <c r="C236" s="6" t="n"/>
      <c r="D236" s="8" t="n"/>
      <c r="E236" s="8" t="n"/>
      <c r="F236" s="8">
        <f>IF(A240="","",SUMIFS(Operatsiyalar!$I:$I,Operatsiyalar!$C:$C,A240,Operatsiyalar!$E:$E,"kirim"))</f>
        <v/>
      </c>
      <c r="G236" s="8">
        <f>IF(A240="","",SUMIFS(Operatsiyalar!$J:$J,Operatsiyalar!$C:$C,A240,Operatsiyalar!$E:$E,"kirim"))</f>
        <v/>
      </c>
      <c r="H236" s="8">
        <f>IF(A240="","",SUMIFS(Operatsiyalar!$I:$I,Operatsiyalar!$C:$C,A240,Operatsiyalar!$E:$E,"chiqim"))</f>
        <v/>
      </c>
      <c r="I236" s="8">
        <f>IF(A240="","",SUMIFS(Operatsiyalar!$J:$J,Operatsiyalar!$C:$C,A240,Operatsiyalar!$E:$E,"chiqim"))</f>
        <v/>
      </c>
      <c r="J236" s="8">
        <f>IF(A240="","",D240+H240-F240)</f>
        <v/>
      </c>
      <c r="K236" s="8">
        <f>IF(A240="","",E240+I240-G240)</f>
        <v/>
      </c>
    </row>
    <row r="237">
      <c r="A237" s="5" t="n"/>
      <c r="B237" s="5" t="n"/>
      <c r="C237" s="6" t="n"/>
      <c r="D237" s="8" t="n"/>
      <c r="E237" s="8" t="n"/>
      <c r="F237" s="8">
        <f>IF(A241="","",SUMIFS(Operatsiyalar!$I:$I,Operatsiyalar!$C:$C,A241,Operatsiyalar!$E:$E,"kirim"))</f>
        <v/>
      </c>
      <c r="G237" s="8">
        <f>IF(A241="","",SUMIFS(Operatsiyalar!$J:$J,Operatsiyalar!$C:$C,A241,Operatsiyalar!$E:$E,"kirim"))</f>
        <v/>
      </c>
      <c r="H237" s="8">
        <f>IF(A241="","",SUMIFS(Operatsiyalar!$I:$I,Operatsiyalar!$C:$C,A241,Operatsiyalar!$E:$E,"chiqim"))</f>
        <v/>
      </c>
      <c r="I237" s="8">
        <f>IF(A241="","",SUMIFS(Operatsiyalar!$J:$J,Operatsiyalar!$C:$C,A241,Operatsiyalar!$E:$E,"chiqim"))</f>
        <v/>
      </c>
      <c r="J237" s="8">
        <f>IF(A241="","",D241+H241-F241)</f>
        <v/>
      </c>
      <c r="K237" s="8">
        <f>IF(A241="","",E241+I241-G241)</f>
        <v/>
      </c>
    </row>
    <row r="238">
      <c r="A238" s="5" t="n"/>
      <c r="B238" s="5" t="n"/>
      <c r="C238" s="6" t="n"/>
      <c r="D238" s="8" t="n"/>
      <c r="E238" s="8" t="n"/>
      <c r="F238" s="8">
        <f>IF(A242="","",SUMIFS(Operatsiyalar!$I:$I,Operatsiyalar!$C:$C,A242,Operatsiyalar!$E:$E,"kirim"))</f>
        <v/>
      </c>
      <c r="G238" s="8">
        <f>IF(A242="","",SUMIFS(Operatsiyalar!$J:$J,Operatsiyalar!$C:$C,A242,Operatsiyalar!$E:$E,"kirim"))</f>
        <v/>
      </c>
      <c r="H238" s="8">
        <f>IF(A242="","",SUMIFS(Operatsiyalar!$I:$I,Operatsiyalar!$C:$C,A242,Operatsiyalar!$E:$E,"chiqim"))</f>
        <v/>
      </c>
      <c r="I238" s="8">
        <f>IF(A242="","",SUMIFS(Operatsiyalar!$J:$J,Operatsiyalar!$C:$C,A242,Operatsiyalar!$E:$E,"chiqim"))</f>
        <v/>
      </c>
      <c r="J238" s="8">
        <f>IF(A242="","",D242+H242-F242)</f>
        <v/>
      </c>
      <c r="K238" s="8">
        <f>IF(A242="","",E242+I242-G242)</f>
        <v/>
      </c>
    </row>
    <row r="239">
      <c r="A239" s="5" t="n"/>
      <c r="B239" s="5" t="n"/>
      <c r="C239" s="6" t="n"/>
      <c r="D239" s="8" t="n"/>
      <c r="E239" s="8" t="n"/>
      <c r="F239" s="8">
        <f>IF(A243="","",SUMIFS(Operatsiyalar!$I:$I,Operatsiyalar!$C:$C,A243,Operatsiyalar!$E:$E,"kirim"))</f>
        <v/>
      </c>
      <c r="G239" s="8">
        <f>IF(A243="","",SUMIFS(Operatsiyalar!$J:$J,Operatsiyalar!$C:$C,A243,Operatsiyalar!$E:$E,"kirim"))</f>
        <v/>
      </c>
      <c r="H239" s="8">
        <f>IF(A243="","",SUMIFS(Operatsiyalar!$I:$I,Operatsiyalar!$C:$C,A243,Operatsiyalar!$E:$E,"chiqim"))</f>
        <v/>
      </c>
      <c r="I239" s="8">
        <f>IF(A243="","",SUMIFS(Operatsiyalar!$J:$J,Operatsiyalar!$C:$C,A243,Operatsiyalar!$E:$E,"chiqim"))</f>
        <v/>
      </c>
      <c r="J239" s="8">
        <f>IF(A243="","",D243+H243-F243)</f>
        <v/>
      </c>
      <c r="K239" s="8">
        <f>IF(A243="","",E243+I243-G243)</f>
        <v/>
      </c>
    </row>
    <row r="240">
      <c r="A240" s="5" t="n"/>
      <c r="B240" s="5" t="n"/>
      <c r="C240" s="6" t="n"/>
      <c r="D240" s="8" t="n"/>
      <c r="E240" s="8" t="n"/>
      <c r="F240" s="8">
        <f>IF(A244="","",SUMIFS(Operatsiyalar!$I:$I,Operatsiyalar!$C:$C,A244,Operatsiyalar!$E:$E,"kirim"))</f>
        <v/>
      </c>
      <c r="G240" s="8">
        <f>IF(A244="","",SUMIFS(Operatsiyalar!$J:$J,Operatsiyalar!$C:$C,A244,Operatsiyalar!$E:$E,"kirim"))</f>
        <v/>
      </c>
      <c r="H240" s="8">
        <f>IF(A244="","",SUMIFS(Operatsiyalar!$I:$I,Operatsiyalar!$C:$C,A244,Operatsiyalar!$E:$E,"chiqim"))</f>
        <v/>
      </c>
      <c r="I240" s="8">
        <f>IF(A244="","",SUMIFS(Operatsiyalar!$J:$J,Operatsiyalar!$C:$C,A244,Operatsiyalar!$E:$E,"chiqim"))</f>
        <v/>
      </c>
      <c r="J240" s="8">
        <f>IF(A244="","",D244+H244-F244)</f>
        <v/>
      </c>
      <c r="K240" s="8">
        <f>IF(A244="","",E244+I244-G244)</f>
        <v/>
      </c>
    </row>
    <row r="241">
      <c r="A241" s="5" t="n"/>
      <c r="B241" s="5" t="n"/>
      <c r="C241" s="6" t="n"/>
      <c r="D241" s="8" t="n"/>
      <c r="E241" s="8" t="n"/>
      <c r="F241" s="8">
        <f>IF(A245="","",SUMIFS(Operatsiyalar!$I:$I,Operatsiyalar!$C:$C,A245,Operatsiyalar!$E:$E,"kirim"))</f>
        <v/>
      </c>
      <c r="G241" s="8">
        <f>IF(A245="","",SUMIFS(Operatsiyalar!$J:$J,Operatsiyalar!$C:$C,A245,Operatsiyalar!$E:$E,"kirim"))</f>
        <v/>
      </c>
      <c r="H241" s="8">
        <f>IF(A245="","",SUMIFS(Operatsiyalar!$I:$I,Operatsiyalar!$C:$C,A245,Operatsiyalar!$E:$E,"chiqim"))</f>
        <v/>
      </c>
      <c r="I241" s="8">
        <f>IF(A245="","",SUMIFS(Operatsiyalar!$J:$J,Operatsiyalar!$C:$C,A245,Operatsiyalar!$E:$E,"chiqim"))</f>
        <v/>
      </c>
      <c r="J241" s="8">
        <f>IF(A245="","",D245+H245-F245)</f>
        <v/>
      </c>
      <c r="K241" s="8">
        <f>IF(A245="","",E245+I245-G245)</f>
        <v/>
      </c>
    </row>
    <row r="242">
      <c r="A242" s="5" t="n"/>
      <c r="B242" s="5" t="n"/>
      <c r="C242" s="6" t="n"/>
      <c r="D242" s="8" t="n"/>
      <c r="E242" s="8" t="n"/>
      <c r="F242" s="8">
        <f>IF(A246="","",SUMIFS(Operatsiyalar!$I:$I,Operatsiyalar!$C:$C,A246,Operatsiyalar!$E:$E,"kirim"))</f>
        <v/>
      </c>
      <c r="G242" s="8">
        <f>IF(A246="","",SUMIFS(Operatsiyalar!$J:$J,Operatsiyalar!$C:$C,A246,Operatsiyalar!$E:$E,"kirim"))</f>
        <v/>
      </c>
      <c r="H242" s="8">
        <f>IF(A246="","",SUMIFS(Operatsiyalar!$I:$I,Operatsiyalar!$C:$C,A246,Operatsiyalar!$E:$E,"chiqim"))</f>
        <v/>
      </c>
      <c r="I242" s="8">
        <f>IF(A246="","",SUMIFS(Operatsiyalar!$J:$J,Operatsiyalar!$C:$C,A246,Operatsiyalar!$E:$E,"chiqim"))</f>
        <v/>
      </c>
      <c r="J242" s="8">
        <f>IF(A246="","",D246+H246-F246)</f>
        <v/>
      </c>
      <c r="K242" s="8">
        <f>IF(A246="","",E246+I246-G246)</f>
        <v/>
      </c>
    </row>
    <row r="243">
      <c r="A243" s="5" t="n"/>
      <c r="B243" s="5" t="n"/>
      <c r="C243" s="6" t="n"/>
      <c r="D243" s="8" t="n"/>
      <c r="E243" s="8" t="n"/>
      <c r="F243" s="8">
        <f>IF(A247="","",SUMIFS(Operatsiyalar!$I:$I,Operatsiyalar!$C:$C,A247,Operatsiyalar!$E:$E,"kirim"))</f>
        <v/>
      </c>
      <c r="G243" s="8">
        <f>IF(A247="","",SUMIFS(Operatsiyalar!$J:$J,Operatsiyalar!$C:$C,A247,Operatsiyalar!$E:$E,"kirim"))</f>
        <v/>
      </c>
      <c r="H243" s="8">
        <f>IF(A247="","",SUMIFS(Operatsiyalar!$I:$I,Operatsiyalar!$C:$C,A247,Operatsiyalar!$E:$E,"chiqim"))</f>
        <v/>
      </c>
      <c r="I243" s="8">
        <f>IF(A247="","",SUMIFS(Operatsiyalar!$J:$J,Operatsiyalar!$C:$C,A247,Operatsiyalar!$E:$E,"chiqim"))</f>
        <v/>
      </c>
      <c r="J243" s="8">
        <f>IF(A247="","",D247+H247-F247)</f>
        <v/>
      </c>
      <c r="K243" s="8">
        <f>IF(A247="","",E247+I247-G247)</f>
        <v/>
      </c>
    </row>
    <row r="244">
      <c r="A244" s="5" t="n"/>
      <c r="B244" s="5" t="n"/>
      <c r="C244" s="6" t="n"/>
      <c r="D244" s="8" t="n"/>
      <c r="E244" s="8" t="n"/>
      <c r="F244" s="8">
        <f>IF(A248="","",SUMIFS(Operatsiyalar!$I:$I,Operatsiyalar!$C:$C,A248,Operatsiyalar!$E:$E,"kirim"))</f>
        <v/>
      </c>
      <c r="G244" s="8">
        <f>IF(A248="","",SUMIFS(Operatsiyalar!$J:$J,Operatsiyalar!$C:$C,A248,Operatsiyalar!$E:$E,"kirim"))</f>
        <v/>
      </c>
      <c r="H244" s="8">
        <f>IF(A248="","",SUMIFS(Operatsiyalar!$I:$I,Operatsiyalar!$C:$C,A248,Operatsiyalar!$E:$E,"chiqim"))</f>
        <v/>
      </c>
      <c r="I244" s="8">
        <f>IF(A248="","",SUMIFS(Operatsiyalar!$J:$J,Operatsiyalar!$C:$C,A248,Operatsiyalar!$E:$E,"chiqim"))</f>
        <v/>
      </c>
      <c r="J244" s="8">
        <f>IF(A248="","",D248+H248-F248)</f>
        <v/>
      </c>
      <c r="K244" s="8">
        <f>IF(A248="","",E248+I248-G248)</f>
        <v/>
      </c>
    </row>
    <row r="245">
      <c r="A245" s="5" t="n"/>
      <c r="B245" s="5" t="n"/>
      <c r="C245" s="6" t="n"/>
      <c r="D245" s="8" t="n"/>
      <c r="E245" s="8" t="n"/>
      <c r="F245" s="8">
        <f>IF(A249="","",SUMIFS(Operatsiyalar!$I:$I,Operatsiyalar!$C:$C,A249,Operatsiyalar!$E:$E,"kirim"))</f>
        <v/>
      </c>
      <c r="G245" s="8">
        <f>IF(A249="","",SUMIFS(Operatsiyalar!$J:$J,Operatsiyalar!$C:$C,A249,Operatsiyalar!$E:$E,"kirim"))</f>
        <v/>
      </c>
      <c r="H245" s="8">
        <f>IF(A249="","",SUMIFS(Operatsiyalar!$I:$I,Operatsiyalar!$C:$C,A249,Operatsiyalar!$E:$E,"chiqim"))</f>
        <v/>
      </c>
      <c r="I245" s="8">
        <f>IF(A249="","",SUMIFS(Operatsiyalar!$J:$J,Operatsiyalar!$C:$C,A249,Operatsiyalar!$E:$E,"chiqim"))</f>
        <v/>
      </c>
      <c r="J245" s="8">
        <f>IF(A249="","",D249+H249-F249)</f>
        <v/>
      </c>
      <c r="K245" s="8">
        <f>IF(A249="","",E249+I249-G249)</f>
        <v/>
      </c>
    </row>
    <row r="246">
      <c r="A246" s="5" t="n"/>
      <c r="B246" s="5" t="n"/>
      <c r="C246" s="6" t="n"/>
      <c r="D246" s="8" t="n"/>
      <c r="E246" s="8" t="n"/>
      <c r="F246" s="8">
        <f>IF(A250="","",SUMIFS(Operatsiyalar!$I:$I,Operatsiyalar!$C:$C,A250,Operatsiyalar!$E:$E,"kirim"))</f>
        <v/>
      </c>
      <c r="G246" s="8">
        <f>IF(A250="","",SUMIFS(Operatsiyalar!$J:$J,Operatsiyalar!$C:$C,A250,Operatsiyalar!$E:$E,"kirim"))</f>
        <v/>
      </c>
      <c r="H246" s="8">
        <f>IF(A250="","",SUMIFS(Operatsiyalar!$I:$I,Operatsiyalar!$C:$C,A250,Operatsiyalar!$E:$E,"chiqim"))</f>
        <v/>
      </c>
      <c r="I246" s="8">
        <f>IF(A250="","",SUMIFS(Operatsiyalar!$J:$J,Operatsiyalar!$C:$C,A250,Operatsiyalar!$E:$E,"chiqim"))</f>
        <v/>
      </c>
      <c r="J246" s="8">
        <f>IF(A250="","",D250+H250-F250)</f>
        <v/>
      </c>
      <c r="K246" s="8">
        <f>IF(A250="","",E250+I250-G250)</f>
        <v/>
      </c>
    </row>
    <row r="247">
      <c r="A247" s="5" t="n"/>
      <c r="B247" s="5" t="n"/>
      <c r="C247" s="6" t="n"/>
      <c r="D247" s="8" t="n"/>
      <c r="E247" s="8" t="n"/>
      <c r="F247" s="8">
        <f>IF(A251="","",SUMIFS(Operatsiyalar!$I:$I,Operatsiyalar!$C:$C,A251,Operatsiyalar!$E:$E,"kirim"))</f>
        <v/>
      </c>
      <c r="G247" s="8">
        <f>IF(A251="","",SUMIFS(Operatsiyalar!$J:$J,Operatsiyalar!$C:$C,A251,Operatsiyalar!$E:$E,"kirim"))</f>
        <v/>
      </c>
      <c r="H247" s="8">
        <f>IF(A251="","",SUMIFS(Operatsiyalar!$I:$I,Operatsiyalar!$C:$C,A251,Operatsiyalar!$E:$E,"chiqim"))</f>
        <v/>
      </c>
      <c r="I247" s="8">
        <f>IF(A251="","",SUMIFS(Operatsiyalar!$J:$J,Operatsiyalar!$C:$C,A251,Operatsiyalar!$E:$E,"chiqim"))</f>
        <v/>
      </c>
      <c r="J247" s="8">
        <f>IF(A251="","",D251+H251-F251)</f>
        <v/>
      </c>
      <c r="K247" s="8">
        <f>IF(A251="","",E251+I251-G251)</f>
        <v/>
      </c>
    </row>
    <row r="248">
      <c r="A248" s="5" t="n"/>
      <c r="B248" s="5" t="n"/>
      <c r="C248" s="6" t="n"/>
      <c r="D248" s="8" t="n"/>
      <c r="E248" s="8" t="n"/>
      <c r="F248" s="8">
        <f>IF(A252="","",SUMIFS(Operatsiyalar!$I:$I,Operatsiyalar!$C:$C,A252,Operatsiyalar!$E:$E,"kirim"))</f>
        <v/>
      </c>
      <c r="G248" s="8">
        <f>IF(A252="","",SUMIFS(Operatsiyalar!$J:$J,Operatsiyalar!$C:$C,A252,Operatsiyalar!$E:$E,"kirim"))</f>
        <v/>
      </c>
      <c r="H248" s="8">
        <f>IF(A252="","",SUMIFS(Operatsiyalar!$I:$I,Operatsiyalar!$C:$C,A252,Operatsiyalar!$E:$E,"chiqim"))</f>
        <v/>
      </c>
      <c r="I248" s="8">
        <f>IF(A252="","",SUMIFS(Operatsiyalar!$J:$J,Operatsiyalar!$C:$C,A252,Operatsiyalar!$E:$E,"chiqim"))</f>
        <v/>
      </c>
      <c r="J248" s="8">
        <f>IF(A252="","",D252+H252-F252)</f>
        <v/>
      </c>
      <c r="K248" s="8">
        <f>IF(A252="","",E252+I252-G252)</f>
        <v/>
      </c>
    </row>
    <row r="249">
      <c r="A249" s="5" t="n"/>
      <c r="B249" s="5" t="n"/>
      <c r="C249" s="6" t="n"/>
      <c r="D249" s="8" t="n"/>
      <c r="E249" s="8" t="n"/>
      <c r="F249" s="8">
        <f>IF(A253="","",SUMIFS(Operatsiyalar!$I:$I,Operatsiyalar!$C:$C,A253,Operatsiyalar!$E:$E,"kirim"))</f>
        <v/>
      </c>
      <c r="G249" s="8">
        <f>IF(A253="","",SUMIFS(Operatsiyalar!$J:$J,Operatsiyalar!$C:$C,A253,Operatsiyalar!$E:$E,"kirim"))</f>
        <v/>
      </c>
      <c r="H249" s="8">
        <f>IF(A253="","",SUMIFS(Operatsiyalar!$I:$I,Operatsiyalar!$C:$C,A253,Operatsiyalar!$E:$E,"chiqim"))</f>
        <v/>
      </c>
      <c r="I249" s="8">
        <f>IF(A253="","",SUMIFS(Operatsiyalar!$J:$J,Operatsiyalar!$C:$C,A253,Operatsiyalar!$E:$E,"chiqim"))</f>
        <v/>
      </c>
      <c r="J249" s="8">
        <f>IF(A253="","",D253+H253-F253)</f>
        <v/>
      </c>
      <c r="K249" s="8">
        <f>IF(A253="","",E253+I253-G253)</f>
        <v/>
      </c>
    </row>
    <row r="250">
      <c r="A250" s="5" t="n"/>
      <c r="B250" s="5" t="n"/>
      <c r="C250" s="6" t="n"/>
      <c r="D250" s="8" t="n"/>
      <c r="E250" s="8" t="n"/>
      <c r="F250" s="8">
        <f>IF(A254="","",SUMIFS(Operatsiyalar!$I:$I,Operatsiyalar!$C:$C,A254,Operatsiyalar!$E:$E,"kirim"))</f>
        <v/>
      </c>
      <c r="G250" s="8">
        <f>IF(A254="","",SUMIFS(Operatsiyalar!$J:$J,Operatsiyalar!$C:$C,A254,Operatsiyalar!$E:$E,"kirim"))</f>
        <v/>
      </c>
      <c r="H250" s="8">
        <f>IF(A254="","",SUMIFS(Operatsiyalar!$I:$I,Operatsiyalar!$C:$C,A254,Operatsiyalar!$E:$E,"chiqim"))</f>
        <v/>
      </c>
      <c r="I250" s="8">
        <f>IF(A254="","",SUMIFS(Operatsiyalar!$J:$J,Operatsiyalar!$C:$C,A254,Operatsiyalar!$E:$E,"chiqim"))</f>
        <v/>
      </c>
      <c r="J250" s="8">
        <f>IF(A254="","",D254+H254-F254)</f>
        <v/>
      </c>
      <c r="K250" s="8">
        <f>IF(A254="","",E254+I254-G254)</f>
        <v/>
      </c>
    </row>
    <row r="251">
      <c r="A251" s="5" t="n"/>
      <c r="B251" s="5" t="n"/>
      <c r="C251" s="6" t="n"/>
      <c r="D251" s="8" t="n"/>
      <c r="E251" s="8" t="n"/>
      <c r="F251" s="8">
        <f>IF(A255="","",SUMIFS(Operatsiyalar!$I:$I,Operatsiyalar!$C:$C,A255,Operatsiyalar!$E:$E,"kirim"))</f>
        <v/>
      </c>
      <c r="G251" s="8">
        <f>IF(A255="","",SUMIFS(Operatsiyalar!$J:$J,Operatsiyalar!$C:$C,A255,Operatsiyalar!$E:$E,"kirim"))</f>
        <v/>
      </c>
      <c r="H251" s="8">
        <f>IF(A255="","",SUMIFS(Operatsiyalar!$I:$I,Operatsiyalar!$C:$C,A255,Operatsiyalar!$E:$E,"chiqim"))</f>
        <v/>
      </c>
      <c r="I251" s="8">
        <f>IF(A255="","",SUMIFS(Operatsiyalar!$J:$J,Operatsiyalar!$C:$C,A255,Operatsiyalar!$E:$E,"chiqim"))</f>
        <v/>
      </c>
      <c r="J251" s="8">
        <f>IF(A255="","",D255+H255-F255)</f>
        <v/>
      </c>
      <c r="K251" s="8">
        <f>IF(A255="","",E255+I255-G255)</f>
        <v/>
      </c>
    </row>
    <row r="252">
      <c r="A252" s="5" t="n"/>
      <c r="B252" s="5" t="n"/>
      <c r="C252" s="6" t="n"/>
      <c r="D252" s="8" t="n"/>
      <c r="E252" s="8" t="n"/>
      <c r="F252" s="8">
        <f>IF(A256="","",SUMIFS(Operatsiyalar!$I:$I,Operatsiyalar!$C:$C,A256,Operatsiyalar!$E:$E,"kirim"))</f>
        <v/>
      </c>
      <c r="G252" s="8">
        <f>IF(A256="","",SUMIFS(Operatsiyalar!$J:$J,Operatsiyalar!$C:$C,A256,Operatsiyalar!$E:$E,"kirim"))</f>
        <v/>
      </c>
      <c r="H252" s="8">
        <f>IF(A256="","",SUMIFS(Operatsiyalar!$I:$I,Operatsiyalar!$C:$C,A256,Operatsiyalar!$E:$E,"chiqim"))</f>
        <v/>
      </c>
      <c r="I252" s="8">
        <f>IF(A256="","",SUMIFS(Operatsiyalar!$J:$J,Operatsiyalar!$C:$C,A256,Operatsiyalar!$E:$E,"chiqim"))</f>
        <v/>
      </c>
      <c r="J252" s="8">
        <f>IF(A256="","",D256+H256-F256)</f>
        <v/>
      </c>
      <c r="K252" s="8">
        <f>IF(A256="","",E256+I256-G256)</f>
        <v/>
      </c>
    </row>
    <row r="253">
      <c r="A253" s="5" t="n"/>
      <c r="B253" s="5" t="n"/>
      <c r="C253" s="6" t="n"/>
      <c r="D253" s="8" t="n"/>
      <c r="E253" s="8" t="n"/>
      <c r="F253" s="8">
        <f>IF(A257="","",SUMIFS(Operatsiyalar!$I:$I,Operatsiyalar!$C:$C,A257,Operatsiyalar!$E:$E,"kirim"))</f>
        <v/>
      </c>
      <c r="G253" s="8">
        <f>IF(A257="","",SUMIFS(Operatsiyalar!$J:$J,Operatsiyalar!$C:$C,A257,Operatsiyalar!$E:$E,"kirim"))</f>
        <v/>
      </c>
      <c r="H253" s="8">
        <f>IF(A257="","",SUMIFS(Operatsiyalar!$I:$I,Operatsiyalar!$C:$C,A257,Operatsiyalar!$E:$E,"chiqim"))</f>
        <v/>
      </c>
      <c r="I253" s="8">
        <f>IF(A257="","",SUMIFS(Operatsiyalar!$J:$J,Operatsiyalar!$C:$C,A257,Operatsiyalar!$E:$E,"chiqim"))</f>
        <v/>
      </c>
      <c r="J253" s="8">
        <f>IF(A257="","",D257+H257-F257)</f>
        <v/>
      </c>
      <c r="K253" s="8">
        <f>IF(A257="","",E257+I257-G257)</f>
        <v/>
      </c>
    </row>
    <row r="254">
      <c r="A254" s="5" t="n"/>
      <c r="B254" s="5" t="n"/>
      <c r="C254" s="6" t="n"/>
      <c r="D254" s="8" t="n"/>
      <c r="E254" s="8" t="n"/>
      <c r="F254" s="8">
        <f>IF(A258="","",SUMIFS(Operatsiyalar!$I:$I,Operatsiyalar!$C:$C,A258,Operatsiyalar!$E:$E,"kirim"))</f>
        <v/>
      </c>
      <c r="G254" s="8">
        <f>IF(A258="","",SUMIFS(Operatsiyalar!$J:$J,Operatsiyalar!$C:$C,A258,Operatsiyalar!$E:$E,"kirim"))</f>
        <v/>
      </c>
      <c r="H254" s="8">
        <f>IF(A258="","",SUMIFS(Operatsiyalar!$I:$I,Operatsiyalar!$C:$C,A258,Operatsiyalar!$E:$E,"chiqim"))</f>
        <v/>
      </c>
      <c r="I254" s="8">
        <f>IF(A258="","",SUMIFS(Operatsiyalar!$J:$J,Operatsiyalar!$C:$C,A258,Operatsiyalar!$E:$E,"chiqim"))</f>
        <v/>
      </c>
      <c r="J254" s="8">
        <f>IF(A258="","",D258+H258-F258)</f>
        <v/>
      </c>
      <c r="K254" s="8">
        <f>IF(A258="","",E258+I258-G258)</f>
        <v/>
      </c>
    </row>
    <row r="255">
      <c r="A255" s="5" t="n"/>
      <c r="B255" s="5" t="n"/>
      <c r="C255" s="6" t="n"/>
      <c r="D255" s="8" t="n"/>
      <c r="E255" s="8" t="n"/>
      <c r="F255" s="8">
        <f>IF(A259="","",SUMIFS(Operatsiyalar!$I:$I,Operatsiyalar!$C:$C,A259,Operatsiyalar!$E:$E,"kirim"))</f>
        <v/>
      </c>
      <c r="G255" s="8">
        <f>IF(A259="","",SUMIFS(Operatsiyalar!$J:$J,Operatsiyalar!$C:$C,A259,Operatsiyalar!$E:$E,"kirim"))</f>
        <v/>
      </c>
      <c r="H255" s="8">
        <f>IF(A259="","",SUMIFS(Operatsiyalar!$I:$I,Operatsiyalar!$C:$C,A259,Operatsiyalar!$E:$E,"chiqim"))</f>
        <v/>
      </c>
      <c r="I255" s="8">
        <f>IF(A259="","",SUMIFS(Operatsiyalar!$J:$J,Operatsiyalar!$C:$C,A259,Operatsiyalar!$E:$E,"chiqim"))</f>
        <v/>
      </c>
      <c r="J255" s="8">
        <f>IF(A259="","",D259+H259-F259)</f>
        <v/>
      </c>
      <c r="K255" s="8">
        <f>IF(A259="","",E259+I259-G259)</f>
        <v/>
      </c>
    </row>
    <row r="256">
      <c r="A256" s="5" t="n"/>
      <c r="B256" s="5" t="n"/>
      <c r="C256" s="6" t="n"/>
      <c r="D256" s="8" t="n"/>
      <c r="E256" s="8" t="n"/>
      <c r="F256" s="8">
        <f>IF(A260="","",SUMIFS(Operatsiyalar!$I:$I,Operatsiyalar!$C:$C,A260,Operatsiyalar!$E:$E,"kirim"))</f>
        <v/>
      </c>
      <c r="G256" s="8">
        <f>IF(A260="","",SUMIFS(Operatsiyalar!$J:$J,Operatsiyalar!$C:$C,A260,Operatsiyalar!$E:$E,"kirim"))</f>
        <v/>
      </c>
      <c r="H256" s="8">
        <f>IF(A260="","",SUMIFS(Operatsiyalar!$I:$I,Operatsiyalar!$C:$C,A260,Operatsiyalar!$E:$E,"chiqim"))</f>
        <v/>
      </c>
      <c r="I256" s="8">
        <f>IF(A260="","",SUMIFS(Operatsiyalar!$J:$J,Operatsiyalar!$C:$C,A260,Operatsiyalar!$E:$E,"chiqim"))</f>
        <v/>
      </c>
      <c r="J256" s="8">
        <f>IF(A260="","",D260+H260-F260)</f>
        <v/>
      </c>
      <c r="K256" s="8">
        <f>IF(A260="","",E260+I260-G260)</f>
        <v/>
      </c>
    </row>
    <row r="257">
      <c r="A257" s="5" t="n"/>
      <c r="B257" s="5" t="n"/>
      <c r="C257" s="6" t="n"/>
      <c r="D257" s="8" t="n"/>
      <c r="E257" s="8" t="n"/>
      <c r="F257" s="8">
        <f>IF(A261="","",SUMIFS(Operatsiyalar!$I:$I,Operatsiyalar!$C:$C,A261,Operatsiyalar!$E:$E,"kirim"))</f>
        <v/>
      </c>
      <c r="G257" s="8">
        <f>IF(A261="","",SUMIFS(Operatsiyalar!$J:$J,Operatsiyalar!$C:$C,A261,Operatsiyalar!$E:$E,"kirim"))</f>
        <v/>
      </c>
      <c r="H257" s="8">
        <f>IF(A261="","",SUMIFS(Operatsiyalar!$I:$I,Operatsiyalar!$C:$C,A261,Operatsiyalar!$E:$E,"chiqim"))</f>
        <v/>
      </c>
      <c r="I257" s="8">
        <f>IF(A261="","",SUMIFS(Operatsiyalar!$J:$J,Operatsiyalar!$C:$C,A261,Operatsiyalar!$E:$E,"chiqim"))</f>
        <v/>
      </c>
      <c r="J257" s="8">
        <f>IF(A261="","",D261+H261-F261)</f>
        <v/>
      </c>
      <c r="K257" s="8">
        <f>IF(A261="","",E261+I261-G261)</f>
        <v/>
      </c>
    </row>
    <row r="258">
      <c r="A258" s="5" t="n"/>
      <c r="B258" s="5" t="n"/>
      <c r="C258" s="6" t="n"/>
      <c r="D258" s="8" t="n"/>
      <c r="E258" s="8" t="n"/>
      <c r="F258" s="8">
        <f>IF(A262="","",SUMIFS(Operatsiyalar!$I:$I,Operatsiyalar!$C:$C,A262,Operatsiyalar!$E:$E,"kirim"))</f>
        <v/>
      </c>
      <c r="G258" s="8">
        <f>IF(A262="","",SUMIFS(Operatsiyalar!$J:$J,Operatsiyalar!$C:$C,A262,Operatsiyalar!$E:$E,"kirim"))</f>
        <v/>
      </c>
      <c r="H258" s="8">
        <f>IF(A262="","",SUMIFS(Operatsiyalar!$I:$I,Operatsiyalar!$C:$C,A262,Operatsiyalar!$E:$E,"chiqim"))</f>
        <v/>
      </c>
      <c r="I258" s="8">
        <f>IF(A262="","",SUMIFS(Operatsiyalar!$J:$J,Operatsiyalar!$C:$C,A262,Operatsiyalar!$E:$E,"chiqim"))</f>
        <v/>
      </c>
      <c r="J258" s="8">
        <f>IF(A262="","",D262+H262-F262)</f>
        <v/>
      </c>
      <c r="K258" s="8">
        <f>IF(A262="","",E262+I262-G262)</f>
        <v/>
      </c>
    </row>
    <row r="259">
      <c r="A259" s="5" t="n"/>
      <c r="B259" s="5" t="n"/>
      <c r="C259" s="6" t="n"/>
      <c r="D259" s="8" t="n"/>
      <c r="E259" s="8" t="n"/>
      <c r="F259" s="8">
        <f>IF(A263="","",SUMIFS(Operatsiyalar!$I:$I,Operatsiyalar!$C:$C,A263,Operatsiyalar!$E:$E,"kirim"))</f>
        <v/>
      </c>
      <c r="G259" s="8">
        <f>IF(A263="","",SUMIFS(Operatsiyalar!$J:$J,Operatsiyalar!$C:$C,A263,Operatsiyalar!$E:$E,"kirim"))</f>
        <v/>
      </c>
      <c r="H259" s="8">
        <f>IF(A263="","",SUMIFS(Operatsiyalar!$I:$I,Operatsiyalar!$C:$C,A263,Operatsiyalar!$E:$E,"chiqim"))</f>
        <v/>
      </c>
      <c r="I259" s="8">
        <f>IF(A263="","",SUMIFS(Operatsiyalar!$J:$J,Operatsiyalar!$C:$C,A263,Operatsiyalar!$E:$E,"chiqim"))</f>
        <v/>
      </c>
      <c r="J259" s="8">
        <f>IF(A263="","",D263+H263-F263)</f>
        <v/>
      </c>
      <c r="K259" s="8">
        <f>IF(A263="","",E263+I263-G263)</f>
        <v/>
      </c>
    </row>
    <row r="260">
      <c r="A260" s="5" t="n"/>
      <c r="B260" s="5" t="n"/>
      <c r="C260" s="6" t="n"/>
      <c r="D260" s="8" t="n"/>
      <c r="E260" s="8" t="n"/>
      <c r="F260" s="8">
        <f>IF(A264="","",SUMIFS(Operatsiyalar!$I:$I,Operatsiyalar!$C:$C,A264,Operatsiyalar!$E:$E,"kirim"))</f>
        <v/>
      </c>
      <c r="G260" s="8">
        <f>IF(A264="","",SUMIFS(Operatsiyalar!$J:$J,Operatsiyalar!$C:$C,A264,Operatsiyalar!$E:$E,"kirim"))</f>
        <v/>
      </c>
      <c r="H260" s="8">
        <f>IF(A264="","",SUMIFS(Operatsiyalar!$I:$I,Operatsiyalar!$C:$C,A264,Operatsiyalar!$E:$E,"chiqim"))</f>
        <v/>
      </c>
      <c r="I260" s="8">
        <f>IF(A264="","",SUMIFS(Operatsiyalar!$J:$J,Operatsiyalar!$C:$C,A264,Operatsiyalar!$E:$E,"chiqim"))</f>
        <v/>
      </c>
      <c r="J260" s="8">
        <f>IF(A264="","",D264+H264-F264)</f>
        <v/>
      </c>
      <c r="K260" s="8">
        <f>IF(A264="","",E264+I264-G264)</f>
        <v/>
      </c>
    </row>
    <row r="261">
      <c r="A261" s="5" t="n"/>
      <c r="B261" s="5" t="n"/>
      <c r="C261" s="6" t="n"/>
      <c r="D261" s="8" t="n"/>
      <c r="E261" s="8" t="n"/>
      <c r="F261" s="8">
        <f>IF(A265="","",SUMIFS(Operatsiyalar!$I:$I,Operatsiyalar!$C:$C,A265,Operatsiyalar!$E:$E,"kirim"))</f>
        <v/>
      </c>
      <c r="G261" s="8">
        <f>IF(A265="","",SUMIFS(Operatsiyalar!$J:$J,Operatsiyalar!$C:$C,A265,Operatsiyalar!$E:$E,"kirim"))</f>
        <v/>
      </c>
      <c r="H261" s="8">
        <f>IF(A265="","",SUMIFS(Operatsiyalar!$I:$I,Operatsiyalar!$C:$C,A265,Operatsiyalar!$E:$E,"chiqim"))</f>
        <v/>
      </c>
      <c r="I261" s="8">
        <f>IF(A265="","",SUMIFS(Operatsiyalar!$J:$J,Operatsiyalar!$C:$C,A265,Operatsiyalar!$E:$E,"chiqim"))</f>
        <v/>
      </c>
      <c r="J261" s="8">
        <f>IF(A265="","",D265+H265-F265)</f>
        <v/>
      </c>
      <c r="K261" s="8">
        <f>IF(A265="","",E265+I265-G265)</f>
        <v/>
      </c>
    </row>
    <row r="262">
      <c r="A262" s="5" t="n"/>
      <c r="B262" s="5" t="n"/>
      <c r="C262" s="6" t="n"/>
      <c r="D262" s="8" t="n"/>
      <c r="E262" s="8" t="n"/>
      <c r="F262" s="8">
        <f>IF(A266="","",SUMIFS(Operatsiyalar!$I:$I,Operatsiyalar!$C:$C,A266,Operatsiyalar!$E:$E,"kirim"))</f>
        <v/>
      </c>
      <c r="G262" s="8">
        <f>IF(A266="","",SUMIFS(Operatsiyalar!$J:$J,Operatsiyalar!$C:$C,A266,Operatsiyalar!$E:$E,"kirim"))</f>
        <v/>
      </c>
      <c r="H262" s="8">
        <f>IF(A266="","",SUMIFS(Operatsiyalar!$I:$I,Operatsiyalar!$C:$C,A266,Operatsiyalar!$E:$E,"chiqim"))</f>
        <v/>
      </c>
      <c r="I262" s="8">
        <f>IF(A266="","",SUMIFS(Operatsiyalar!$J:$J,Operatsiyalar!$C:$C,A266,Operatsiyalar!$E:$E,"chiqim"))</f>
        <v/>
      </c>
      <c r="J262" s="8">
        <f>IF(A266="","",D266+H266-F266)</f>
        <v/>
      </c>
      <c r="K262" s="8">
        <f>IF(A266="","",E266+I266-G266)</f>
        <v/>
      </c>
    </row>
    <row r="263">
      <c r="A263" s="5" t="n"/>
      <c r="B263" s="5" t="n"/>
      <c r="C263" s="6" t="n"/>
      <c r="D263" s="8" t="n"/>
      <c r="E263" s="8" t="n"/>
      <c r="F263" s="8">
        <f>IF(A267="","",SUMIFS(Operatsiyalar!$I:$I,Operatsiyalar!$C:$C,A267,Operatsiyalar!$E:$E,"kirim"))</f>
        <v/>
      </c>
      <c r="G263" s="8">
        <f>IF(A267="","",SUMIFS(Operatsiyalar!$J:$J,Operatsiyalar!$C:$C,A267,Operatsiyalar!$E:$E,"kirim"))</f>
        <v/>
      </c>
      <c r="H263" s="8">
        <f>IF(A267="","",SUMIFS(Operatsiyalar!$I:$I,Operatsiyalar!$C:$C,A267,Operatsiyalar!$E:$E,"chiqim"))</f>
        <v/>
      </c>
      <c r="I263" s="8">
        <f>IF(A267="","",SUMIFS(Operatsiyalar!$J:$J,Operatsiyalar!$C:$C,A267,Operatsiyalar!$E:$E,"chiqim"))</f>
        <v/>
      </c>
      <c r="J263" s="8">
        <f>IF(A267="","",D267+H267-F267)</f>
        <v/>
      </c>
      <c r="K263" s="8">
        <f>IF(A267="","",E267+I267-G267)</f>
        <v/>
      </c>
    </row>
    <row r="264">
      <c r="A264" s="5" t="n"/>
      <c r="B264" s="5" t="n"/>
      <c r="C264" s="6" t="n"/>
      <c r="D264" s="8" t="n"/>
      <c r="E264" s="8" t="n"/>
      <c r="F264" s="8">
        <f>IF(A268="","",SUMIFS(Operatsiyalar!$I:$I,Operatsiyalar!$C:$C,A268,Operatsiyalar!$E:$E,"kirim"))</f>
        <v/>
      </c>
      <c r="G264" s="8">
        <f>IF(A268="","",SUMIFS(Operatsiyalar!$J:$J,Operatsiyalar!$C:$C,A268,Operatsiyalar!$E:$E,"kirim"))</f>
        <v/>
      </c>
      <c r="H264" s="8">
        <f>IF(A268="","",SUMIFS(Operatsiyalar!$I:$I,Operatsiyalar!$C:$C,A268,Operatsiyalar!$E:$E,"chiqim"))</f>
        <v/>
      </c>
      <c r="I264" s="8">
        <f>IF(A268="","",SUMIFS(Operatsiyalar!$J:$J,Operatsiyalar!$C:$C,A268,Operatsiyalar!$E:$E,"chiqim"))</f>
        <v/>
      </c>
      <c r="J264" s="8">
        <f>IF(A268="","",D268+H268-F268)</f>
        <v/>
      </c>
      <c r="K264" s="8">
        <f>IF(A268="","",E268+I268-G268)</f>
        <v/>
      </c>
    </row>
    <row r="265">
      <c r="A265" s="5" t="n"/>
      <c r="B265" s="5" t="n"/>
      <c r="C265" s="6" t="n"/>
      <c r="D265" s="8" t="n"/>
      <c r="E265" s="8" t="n"/>
      <c r="F265" s="8">
        <f>IF(A269="","",SUMIFS(Operatsiyalar!$I:$I,Operatsiyalar!$C:$C,A269,Operatsiyalar!$E:$E,"kirim"))</f>
        <v/>
      </c>
      <c r="G265" s="8">
        <f>IF(A269="","",SUMIFS(Operatsiyalar!$J:$J,Operatsiyalar!$C:$C,A269,Operatsiyalar!$E:$E,"kirim"))</f>
        <v/>
      </c>
      <c r="H265" s="8">
        <f>IF(A269="","",SUMIFS(Operatsiyalar!$I:$I,Operatsiyalar!$C:$C,A269,Operatsiyalar!$E:$E,"chiqim"))</f>
        <v/>
      </c>
      <c r="I265" s="8">
        <f>IF(A269="","",SUMIFS(Operatsiyalar!$J:$J,Operatsiyalar!$C:$C,A269,Operatsiyalar!$E:$E,"chiqim"))</f>
        <v/>
      </c>
      <c r="J265" s="8">
        <f>IF(A269="","",D269+H269-F269)</f>
        <v/>
      </c>
      <c r="K265" s="8">
        <f>IF(A269="","",E269+I269-G269)</f>
        <v/>
      </c>
    </row>
    <row r="266">
      <c r="A266" s="5" t="n"/>
      <c r="B266" s="5" t="n"/>
      <c r="C266" s="6" t="n"/>
      <c r="D266" s="8" t="n"/>
      <c r="E266" s="8" t="n"/>
      <c r="F266" s="8">
        <f>IF(A270="","",SUMIFS(Operatsiyalar!$I:$I,Operatsiyalar!$C:$C,A270,Operatsiyalar!$E:$E,"kirim"))</f>
        <v/>
      </c>
      <c r="G266" s="8">
        <f>IF(A270="","",SUMIFS(Operatsiyalar!$J:$J,Operatsiyalar!$C:$C,A270,Operatsiyalar!$E:$E,"kirim"))</f>
        <v/>
      </c>
      <c r="H266" s="8">
        <f>IF(A270="","",SUMIFS(Operatsiyalar!$I:$I,Operatsiyalar!$C:$C,A270,Operatsiyalar!$E:$E,"chiqim"))</f>
        <v/>
      </c>
      <c r="I266" s="8">
        <f>IF(A270="","",SUMIFS(Operatsiyalar!$J:$J,Operatsiyalar!$C:$C,A270,Operatsiyalar!$E:$E,"chiqim"))</f>
        <v/>
      </c>
      <c r="J266" s="8">
        <f>IF(A270="","",D270+H270-F270)</f>
        <v/>
      </c>
      <c r="K266" s="8">
        <f>IF(A270="","",E270+I270-G270)</f>
        <v/>
      </c>
    </row>
    <row r="267">
      <c r="A267" s="5" t="n"/>
      <c r="B267" s="5" t="n"/>
      <c r="C267" s="6" t="n"/>
      <c r="D267" s="8" t="n"/>
      <c r="E267" s="8" t="n"/>
      <c r="F267" s="8">
        <f>IF(A271="","",SUMIFS(Operatsiyalar!$I:$I,Operatsiyalar!$C:$C,A271,Operatsiyalar!$E:$E,"kirim"))</f>
        <v/>
      </c>
      <c r="G267" s="8">
        <f>IF(A271="","",SUMIFS(Operatsiyalar!$J:$J,Operatsiyalar!$C:$C,A271,Operatsiyalar!$E:$E,"kirim"))</f>
        <v/>
      </c>
      <c r="H267" s="8">
        <f>IF(A271="","",SUMIFS(Operatsiyalar!$I:$I,Operatsiyalar!$C:$C,A271,Operatsiyalar!$E:$E,"chiqim"))</f>
        <v/>
      </c>
      <c r="I267" s="8">
        <f>IF(A271="","",SUMIFS(Operatsiyalar!$J:$J,Operatsiyalar!$C:$C,A271,Operatsiyalar!$E:$E,"chiqim"))</f>
        <v/>
      </c>
      <c r="J267" s="8">
        <f>IF(A271="","",D271+H271-F271)</f>
        <v/>
      </c>
      <c r="K267" s="8">
        <f>IF(A271="","",E271+I271-G271)</f>
        <v/>
      </c>
    </row>
    <row r="268">
      <c r="A268" s="5" t="n"/>
      <c r="B268" s="5" t="n"/>
      <c r="C268" s="6" t="n"/>
      <c r="D268" s="8" t="n"/>
      <c r="E268" s="8" t="n"/>
      <c r="F268" s="8">
        <f>IF(A272="","",SUMIFS(Operatsiyalar!$I:$I,Operatsiyalar!$C:$C,A272,Operatsiyalar!$E:$E,"kirim"))</f>
        <v/>
      </c>
      <c r="G268" s="8">
        <f>IF(A272="","",SUMIFS(Operatsiyalar!$J:$J,Operatsiyalar!$C:$C,A272,Operatsiyalar!$E:$E,"kirim"))</f>
        <v/>
      </c>
      <c r="H268" s="8">
        <f>IF(A272="","",SUMIFS(Operatsiyalar!$I:$I,Operatsiyalar!$C:$C,A272,Operatsiyalar!$E:$E,"chiqim"))</f>
        <v/>
      </c>
      <c r="I268" s="8">
        <f>IF(A272="","",SUMIFS(Operatsiyalar!$J:$J,Operatsiyalar!$C:$C,A272,Operatsiyalar!$E:$E,"chiqim"))</f>
        <v/>
      </c>
      <c r="J268" s="8">
        <f>IF(A272="","",D272+H272-F272)</f>
        <v/>
      </c>
      <c r="K268" s="8">
        <f>IF(A272="","",E272+I272-G272)</f>
        <v/>
      </c>
    </row>
    <row r="269">
      <c r="A269" s="5" t="n"/>
      <c r="B269" s="5" t="n"/>
      <c r="C269" s="6" t="n"/>
      <c r="D269" s="8" t="n"/>
      <c r="E269" s="8" t="n"/>
      <c r="F269" s="8">
        <f>IF(A273="","",SUMIFS(Operatsiyalar!$I:$I,Operatsiyalar!$C:$C,A273,Operatsiyalar!$E:$E,"kirim"))</f>
        <v/>
      </c>
      <c r="G269" s="8">
        <f>IF(A273="","",SUMIFS(Operatsiyalar!$J:$J,Operatsiyalar!$C:$C,A273,Operatsiyalar!$E:$E,"kirim"))</f>
        <v/>
      </c>
      <c r="H269" s="8">
        <f>IF(A273="","",SUMIFS(Operatsiyalar!$I:$I,Operatsiyalar!$C:$C,A273,Operatsiyalar!$E:$E,"chiqim"))</f>
        <v/>
      </c>
      <c r="I269" s="8">
        <f>IF(A273="","",SUMIFS(Operatsiyalar!$J:$J,Operatsiyalar!$C:$C,A273,Operatsiyalar!$E:$E,"chiqim"))</f>
        <v/>
      </c>
      <c r="J269" s="8">
        <f>IF(A273="","",D273+H273-F273)</f>
        <v/>
      </c>
      <c r="K269" s="8">
        <f>IF(A273="","",E273+I273-G273)</f>
        <v/>
      </c>
    </row>
    <row r="270">
      <c r="A270" s="5" t="n"/>
      <c r="B270" s="5" t="n"/>
      <c r="C270" s="6" t="n"/>
      <c r="D270" s="8" t="n"/>
      <c r="E270" s="8" t="n"/>
      <c r="F270" s="8">
        <f>IF(A274="","",SUMIFS(Operatsiyalar!$I:$I,Operatsiyalar!$C:$C,A274,Operatsiyalar!$E:$E,"kirim"))</f>
        <v/>
      </c>
      <c r="G270" s="8">
        <f>IF(A274="","",SUMIFS(Operatsiyalar!$J:$J,Operatsiyalar!$C:$C,A274,Operatsiyalar!$E:$E,"kirim"))</f>
        <v/>
      </c>
      <c r="H270" s="8">
        <f>IF(A274="","",SUMIFS(Operatsiyalar!$I:$I,Operatsiyalar!$C:$C,A274,Operatsiyalar!$E:$E,"chiqim"))</f>
        <v/>
      </c>
      <c r="I270" s="8">
        <f>IF(A274="","",SUMIFS(Operatsiyalar!$J:$J,Operatsiyalar!$C:$C,A274,Operatsiyalar!$E:$E,"chiqim"))</f>
        <v/>
      </c>
      <c r="J270" s="8">
        <f>IF(A274="","",D274+H274-F274)</f>
        <v/>
      </c>
      <c r="K270" s="8">
        <f>IF(A274="","",E274+I274-G274)</f>
        <v/>
      </c>
    </row>
    <row r="271">
      <c r="A271" s="5" t="n"/>
      <c r="B271" s="5" t="n"/>
      <c r="C271" s="6" t="n"/>
      <c r="D271" s="8" t="n"/>
      <c r="E271" s="8" t="n"/>
      <c r="F271" s="8">
        <f>IF(A275="","",SUMIFS(Operatsiyalar!$I:$I,Operatsiyalar!$C:$C,A275,Operatsiyalar!$E:$E,"kirim"))</f>
        <v/>
      </c>
      <c r="G271" s="8">
        <f>IF(A275="","",SUMIFS(Operatsiyalar!$J:$J,Operatsiyalar!$C:$C,A275,Operatsiyalar!$E:$E,"kirim"))</f>
        <v/>
      </c>
      <c r="H271" s="8">
        <f>IF(A275="","",SUMIFS(Operatsiyalar!$I:$I,Operatsiyalar!$C:$C,A275,Operatsiyalar!$E:$E,"chiqim"))</f>
        <v/>
      </c>
      <c r="I271" s="8">
        <f>IF(A275="","",SUMIFS(Operatsiyalar!$J:$J,Operatsiyalar!$C:$C,A275,Operatsiyalar!$E:$E,"chiqim"))</f>
        <v/>
      </c>
      <c r="J271" s="8">
        <f>IF(A275="","",D275+H275-F275)</f>
        <v/>
      </c>
      <c r="K271" s="8">
        <f>IF(A275="","",E275+I275-G275)</f>
        <v/>
      </c>
    </row>
    <row r="272">
      <c r="A272" s="5" t="n"/>
      <c r="B272" s="5" t="n"/>
      <c r="C272" s="6" t="n"/>
      <c r="D272" s="8" t="n"/>
      <c r="E272" s="8" t="n"/>
      <c r="F272" s="8">
        <f>IF(A276="","",SUMIFS(Operatsiyalar!$I:$I,Operatsiyalar!$C:$C,A276,Operatsiyalar!$E:$E,"kirim"))</f>
        <v/>
      </c>
      <c r="G272" s="8">
        <f>IF(A276="","",SUMIFS(Operatsiyalar!$J:$J,Operatsiyalar!$C:$C,A276,Operatsiyalar!$E:$E,"kirim"))</f>
        <v/>
      </c>
      <c r="H272" s="8">
        <f>IF(A276="","",SUMIFS(Operatsiyalar!$I:$I,Operatsiyalar!$C:$C,A276,Operatsiyalar!$E:$E,"chiqim"))</f>
        <v/>
      </c>
      <c r="I272" s="8">
        <f>IF(A276="","",SUMIFS(Operatsiyalar!$J:$J,Operatsiyalar!$C:$C,A276,Operatsiyalar!$E:$E,"chiqim"))</f>
        <v/>
      </c>
      <c r="J272" s="8">
        <f>IF(A276="","",D276+H276-F276)</f>
        <v/>
      </c>
      <c r="K272" s="8">
        <f>IF(A276="","",E276+I276-G276)</f>
        <v/>
      </c>
    </row>
    <row r="273">
      <c r="A273" s="5" t="n"/>
      <c r="B273" s="5" t="n"/>
      <c r="C273" s="6" t="n"/>
      <c r="D273" s="8" t="n"/>
      <c r="E273" s="8" t="n"/>
      <c r="F273" s="8">
        <f>IF(A277="","",SUMIFS(Operatsiyalar!$I:$I,Operatsiyalar!$C:$C,A277,Operatsiyalar!$E:$E,"kirim"))</f>
        <v/>
      </c>
      <c r="G273" s="8">
        <f>IF(A277="","",SUMIFS(Operatsiyalar!$J:$J,Operatsiyalar!$C:$C,A277,Operatsiyalar!$E:$E,"kirim"))</f>
        <v/>
      </c>
      <c r="H273" s="8">
        <f>IF(A277="","",SUMIFS(Operatsiyalar!$I:$I,Operatsiyalar!$C:$C,A277,Operatsiyalar!$E:$E,"chiqim"))</f>
        <v/>
      </c>
      <c r="I273" s="8">
        <f>IF(A277="","",SUMIFS(Operatsiyalar!$J:$J,Operatsiyalar!$C:$C,A277,Operatsiyalar!$E:$E,"chiqim"))</f>
        <v/>
      </c>
      <c r="J273" s="8">
        <f>IF(A277="","",D277+H277-F277)</f>
        <v/>
      </c>
      <c r="K273" s="8">
        <f>IF(A277="","",E277+I277-G277)</f>
        <v/>
      </c>
    </row>
    <row r="274">
      <c r="A274" s="5" t="n"/>
      <c r="B274" s="5" t="n"/>
      <c r="C274" s="6" t="n"/>
      <c r="D274" s="8" t="n"/>
      <c r="E274" s="8" t="n"/>
      <c r="F274" s="8">
        <f>IF(A278="","",SUMIFS(Operatsiyalar!$I:$I,Operatsiyalar!$C:$C,A278,Operatsiyalar!$E:$E,"kirim"))</f>
        <v/>
      </c>
      <c r="G274" s="8">
        <f>IF(A278="","",SUMIFS(Operatsiyalar!$J:$J,Operatsiyalar!$C:$C,A278,Operatsiyalar!$E:$E,"kirim"))</f>
        <v/>
      </c>
      <c r="H274" s="8">
        <f>IF(A278="","",SUMIFS(Operatsiyalar!$I:$I,Operatsiyalar!$C:$C,A278,Operatsiyalar!$E:$E,"chiqim"))</f>
        <v/>
      </c>
      <c r="I274" s="8">
        <f>IF(A278="","",SUMIFS(Operatsiyalar!$J:$J,Operatsiyalar!$C:$C,A278,Operatsiyalar!$E:$E,"chiqim"))</f>
        <v/>
      </c>
      <c r="J274" s="8">
        <f>IF(A278="","",D278+H278-F278)</f>
        <v/>
      </c>
      <c r="K274" s="8">
        <f>IF(A278="","",E278+I278-G278)</f>
        <v/>
      </c>
    </row>
    <row r="275">
      <c r="A275" s="5" t="n"/>
      <c r="B275" s="5" t="n"/>
      <c r="C275" s="6" t="n"/>
      <c r="D275" s="8" t="n"/>
      <c r="E275" s="8" t="n"/>
      <c r="F275" s="8">
        <f>IF(A279="","",SUMIFS(Operatsiyalar!$I:$I,Operatsiyalar!$C:$C,A279,Operatsiyalar!$E:$E,"kirim"))</f>
        <v/>
      </c>
      <c r="G275" s="8">
        <f>IF(A279="","",SUMIFS(Operatsiyalar!$J:$J,Operatsiyalar!$C:$C,A279,Operatsiyalar!$E:$E,"kirim"))</f>
        <v/>
      </c>
      <c r="H275" s="8">
        <f>IF(A279="","",SUMIFS(Operatsiyalar!$I:$I,Operatsiyalar!$C:$C,A279,Operatsiyalar!$E:$E,"chiqim"))</f>
        <v/>
      </c>
      <c r="I275" s="8">
        <f>IF(A279="","",SUMIFS(Operatsiyalar!$J:$J,Operatsiyalar!$C:$C,A279,Operatsiyalar!$E:$E,"chiqim"))</f>
        <v/>
      </c>
      <c r="J275" s="8">
        <f>IF(A279="","",D279+H279-F279)</f>
        <v/>
      </c>
      <c r="K275" s="8">
        <f>IF(A279="","",E279+I279-G279)</f>
        <v/>
      </c>
    </row>
    <row r="276">
      <c r="A276" s="5" t="n"/>
      <c r="B276" s="5" t="n"/>
      <c r="C276" s="6" t="n"/>
      <c r="D276" s="8" t="n"/>
      <c r="E276" s="8" t="n"/>
      <c r="F276" s="8">
        <f>IF(A280="","",SUMIFS(Operatsiyalar!$I:$I,Operatsiyalar!$C:$C,A280,Operatsiyalar!$E:$E,"kirim"))</f>
        <v/>
      </c>
      <c r="G276" s="8">
        <f>IF(A280="","",SUMIFS(Operatsiyalar!$J:$J,Operatsiyalar!$C:$C,A280,Operatsiyalar!$E:$E,"kirim"))</f>
        <v/>
      </c>
      <c r="H276" s="8">
        <f>IF(A280="","",SUMIFS(Operatsiyalar!$I:$I,Operatsiyalar!$C:$C,A280,Operatsiyalar!$E:$E,"chiqim"))</f>
        <v/>
      </c>
      <c r="I276" s="8">
        <f>IF(A280="","",SUMIFS(Operatsiyalar!$J:$J,Operatsiyalar!$C:$C,A280,Operatsiyalar!$E:$E,"chiqim"))</f>
        <v/>
      </c>
      <c r="J276" s="8">
        <f>IF(A280="","",D280+H280-F280)</f>
        <v/>
      </c>
      <c r="K276" s="8">
        <f>IF(A280="","",E280+I280-G280)</f>
        <v/>
      </c>
    </row>
    <row r="277">
      <c r="A277" s="5" t="n"/>
      <c r="B277" s="5" t="n"/>
      <c r="C277" s="6" t="n"/>
      <c r="D277" s="8" t="n"/>
      <c r="E277" s="8" t="n"/>
      <c r="F277" s="8">
        <f>IF(A281="","",SUMIFS(Operatsiyalar!$I:$I,Operatsiyalar!$C:$C,A281,Operatsiyalar!$E:$E,"kirim"))</f>
        <v/>
      </c>
      <c r="G277" s="8">
        <f>IF(A281="","",SUMIFS(Operatsiyalar!$J:$J,Operatsiyalar!$C:$C,A281,Operatsiyalar!$E:$E,"kirim"))</f>
        <v/>
      </c>
      <c r="H277" s="8">
        <f>IF(A281="","",SUMIFS(Operatsiyalar!$I:$I,Operatsiyalar!$C:$C,A281,Operatsiyalar!$E:$E,"chiqim"))</f>
        <v/>
      </c>
      <c r="I277" s="8">
        <f>IF(A281="","",SUMIFS(Operatsiyalar!$J:$J,Operatsiyalar!$C:$C,A281,Operatsiyalar!$E:$E,"chiqim"))</f>
        <v/>
      </c>
      <c r="J277" s="8">
        <f>IF(A281="","",D281+H281-F281)</f>
        <v/>
      </c>
      <c r="K277" s="8">
        <f>IF(A281="","",E281+I281-G281)</f>
        <v/>
      </c>
    </row>
    <row r="278">
      <c r="A278" s="5" t="n"/>
      <c r="B278" s="5" t="n"/>
      <c r="C278" s="6" t="n"/>
      <c r="D278" s="8" t="n"/>
      <c r="E278" s="8" t="n"/>
      <c r="F278" s="8">
        <f>IF(A282="","",SUMIFS(Operatsiyalar!$I:$I,Operatsiyalar!$C:$C,A282,Operatsiyalar!$E:$E,"kirim"))</f>
        <v/>
      </c>
      <c r="G278" s="8">
        <f>IF(A282="","",SUMIFS(Operatsiyalar!$J:$J,Operatsiyalar!$C:$C,A282,Operatsiyalar!$E:$E,"kirim"))</f>
        <v/>
      </c>
      <c r="H278" s="8">
        <f>IF(A282="","",SUMIFS(Operatsiyalar!$I:$I,Operatsiyalar!$C:$C,A282,Operatsiyalar!$E:$E,"chiqim"))</f>
        <v/>
      </c>
      <c r="I278" s="8">
        <f>IF(A282="","",SUMIFS(Operatsiyalar!$J:$J,Operatsiyalar!$C:$C,A282,Operatsiyalar!$E:$E,"chiqim"))</f>
        <v/>
      </c>
      <c r="J278" s="8">
        <f>IF(A282="","",D282+H282-F282)</f>
        <v/>
      </c>
      <c r="K278" s="8">
        <f>IF(A282="","",E282+I282-G282)</f>
        <v/>
      </c>
    </row>
    <row r="279">
      <c r="A279" s="5" t="n"/>
      <c r="B279" s="5" t="n"/>
      <c r="C279" s="6" t="n"/>
      <c r="D279" s="8" t="n"/>
      <c r="E279" s="8" t="n"/>
      <c r="F279" s="8">
        <f>IF(A283="","",SUMIFS(Operatsiyalar!$I:$I,Operatsiyalar!$C:$C,A283,Operatsiyalar!$E:$E,"kirim"))</f>
        <v/>
      </c>
      <c r="G279" s="8">
        <f>IF(A283="","",SUMIFS(Operatsiyalar!$J:$J,Operatsiyalar!$C:$C,A283,Operatsiyalar!$E:$E,"kirim"))</f>
        <v/>
      </c>
      <c r="H279" s="8">
        <f>IF(A283="","",SUMIFS(Operatsiyalar!$I:$I,Operatsiyalar!$C:$C,A283,Operatsiyalar!$E:$E,"chiqim"))</f>
        <v/>
      </c>
      <c r="I279" s="8">
        <f>IF(A283="","",SUMIFS(Operatsiyalar!$J:$J,Operatsiyalar!$C:$C,A283,Operatsiyalar!$E:$E,"chiqim"))</f>
        <v/>
      </c>
      <c r="J279" s="8">
        <f>IF(A283="","",D283+H283-F283)</f>
        <v/>
      </c>
      <c r="K279" s="8">
        <f>IF(A283="","",E283+I283-G283)</f>
        <v/>
      </c>
    </row>
    <row r="280">
      <c r="A280" s="5" t="n"/>
      <c r="B280" s="5" t="n"/>
      <c r="C280" s="6" t="n"/>
      <c r="D280" s="8" t="n"/>
      <c r="E280" s="8" t="n"/>
      <c r="F280" s="8">
        <f>IF(A284="","",SUMIFS(Operatsiyalar!$I:$I,Operatsiyalar!$C:$C,A284,Operatsiyalar!$E:$E,"kirim"))</f>
        <v/>
      </c>
      <c r="G280" s="8">
        <f>IF(A284="","",SUMIFS(Operatsiyalar!$J:$J,Operatsiyalar!$C:$C,A284,Operatsiyalar!$E:$E,"kirim"))</f>
        <v/>
      </c>
      <c r="H280" s="8">
        <f>IF(A284="","",SUMIFS(Operatsiyalar!$I:$I,Operatsiyalar!$C:$C,A284,Operatsiyalar!$E:$E,"chiqim"))</f>
        <v/>
      </c>
      <c r="I280" s="8">
        <f>IF(A284="","",SUMIFS(Operatsiyalar!$J:$J,Operatsiyalar!$C:$C,A284,Operatsiyalar!$E:$E,"chiqim"))</f>
        <v/>
      </c>
      <c r="J280" s="8">
        <f>IF(A284="","",D284+H284-F284)</f>
        <v/>
      </c>
      <c r="K280" s="8">
        <f>IF(A284="","",E284+I284-G284)</f>
        <v/>
      </c>
    </row>
    <row r="281">
      <c r="A281" s="5" t="n"/>
      <c r="B281" s="5" t="n"/>
      <c r="C281" s="6" t="n"/>
      <c r="D281" s="8" t="n"/>
      <c r="E281" s="8" t="n"/>
      <c r="F281" s="8">
        <f>IF(A285="","",SUMIFS(Operatsiyalar!$I:$I,Operatsiyalar!$C:$C,A285,Operatsiyalar!$E:$E,"kirim"))</f>
        <v/>
      </c>
      <c r="G281" s="8">
        <f>IF(A285="","",SUMIFS(Operatsiyalar!$J:$J,Operatsiyalar!$C:$C,A285,Operatsiyalar!$E:$E,"kirim"))</f>
        <v/>
      </c>
      <c r="H281" s="8">
        <f>IF(A285="","",SUMIFS(Operatsiyalar!$I:$I,Operatsiyalar!$C:$C,A285,Operatsiyalar!$E:$E,"chiqim"))</f>
        <v/>
      </c>
      <c r="I281" s="8">
        <f>IF(A285="","",SUMIFS(Operatsiyalar!$J:$J,Operatsiyalar!$C:$C,A285,Operatsiyalar!$E:$E,"chiqim"))</f>
        <v/>
      </c>
      <c r="J281" s="8">
        <f>IF(A285="","",D285+H285-F285)</f>
        <v/>
      </c>
      <c r="K281" s="8">
        <f>IF(A285="","",E285+I285-G285)</f>
        <v/>
      </c>
    </row>
    <row r="282">
      <c r="A282" s="5" t="n"/>
      <c r="B282" s="5" t="n"/>
      <c r="C282" s="6" t="n"/>
      <c r="D282" s="8" t="n"/>
      <c r="E282" s="8" t="n"/>
      <c r="F282" s="8">
        <f>IF(A286="","",SUMIFS(Operatsiyalar!$I:$I,Operatsiyalar!$C:$C,A286,Operatsiyalar!$E:$E,"kirim"))</f>
        <v/>
      </c>
      <c r="G282" s="8">
        <f>IF(A286="","",SUMIFS(Operatsiyalar!$J:$J,Operatsiyalar!$C:$C,A286,Operatsiyalar!$E:$E,"kirim"))</f>
        <v/>
      </c>
      <c r="H282" s="8">
        <f>IF(A286="","",SUMIFS(Operatsiyalar!$I:$I,Operatsiyalar!$C:$C,A286,Operatsiyalar!$E:$E,"chiqim"))</f>
        <v/>
      </c>
      <c r="I282" s="8">
        <f>IF(A286="","",SUMIFS(Operatsiyalar!$J:$J,Operatsiyalar!$C:$C,A286,Operatsiyalar!$E:$E,"chiqim"))</f>
        <v/>
      </c>
      <c r="J282" s="8">
        <f>IF(A286="","",D286+H286-F286)</f>
        <v/>
      </c>
      <c r="K282" s="8">
        <f>IF(A286="","",E286+I286-G286)</f>
        <v/>
      </c>
    </row>
    <row r="283">
      <c r="A283" s="5" t="n"/>
      <c r="B283" s="5" t="n"/>
      <c r="C283" s="6" t="n"/>
      <c r="D283" s="8" t="n"/>
      <c r="E283" s="8" t="n"/>
      <c r="F283" s="8">
        <f>IF(A287="","",SUMIFS(Operatsiyalar!$I:$I,Operatsiyalar!$C:$C,A287,Operatsiyalar!$E:$E,"kirim"))</f>
        <v/>
      </c>
      <c r="G283" s="8">
        <f>IF(A287="","",SUMIFS(Operatsiyalar!$J:$J,Operatsiyalar!$C:$C,A287,Operatsiyalar!$E:$E,"kirim"))</f>
        <v/>
      </c>
      <c r="H283" s="8">
        <f>IF(A287="","",SUMIFS(Operatsiyalar!$I:$I,Operatsiyalar!$C:$C,A287,Operatsiyalar!$E:$E,"chiqim"))</f>
        <v/>
      </c>
      <c r="I283" s="8">
        <f>IF(A287="","",SUMIFS(Operatsiyalar!$J:$J,Operatsiyalar!$C:$C,A287,Operatsiyalar!$E:$E,"chiqim"))</f>
        <v/>
      </c>
      <c r="J283" s="8">
        <f>IF(A287="","",D287+H287-F287)</f>
        <v/>
      </c>
      <c r="K283" s="8">
        <f>IF(A287="","",E287+I287-G287)</f>
        <v/>
      </c>
    </row>
    <row r="284">
      <c r="A284" s="5" t="n"/>
      <c r="B284" s="5" t="n"/>
      <c r="C284" s="6" t="n"/>
      <c r="D284" s="8" t="n"/>
      <c r="E284" s="8" t="n"/>
      <c r="F284" s="8">
        <f>IF(A288="","",SUMIFS(Operatsiyalar!$I:$I,Operatsiyalar!$C:$C,A288,Operatsiyalar!$E:$E,"kirim"))</f>
        <v/>
      </c>
      <c r="G284" s="8">
        <f>IF(A288="","",SUMIFS(Operatsiyalar!$J:$J,Operatsiyalar!$C:$C,A288,Operatsiyalar!$E:$E,"kirim"))</f>
        <v/>
      </c>
      <c r="H284" s="8">
        <f>IF(A288="","",SUMIFS(Operatsiyalar!$I:$I,Operatsiyalar!$C:$C,A288,Operatsiyalar!$E:$E,"chiqim"))</f>
        <v/>
      </c>
      <c r="I284" s="8">
        <f>IF(A288="","",SUMIFS(Operatsiyalar!$J:$J,Operatsiyalar!$C:$C,A288,Operatsiyalar!$E:$E,"chiqim"))</f>
        <v/>
      </c>
      <c r="J284" s="8">
        <f>IF(A288="","",D288+H288-F288)</f>
        <v/>
      </c>
      <c r="K284" s="8">
        <f>IF(A288="","",E288+I288-G288)</f>
        <v/>
      </c>
    </row>
    <row r="285">
      <c r="A285" s="5" t="n"/>
      <c r="B285" s="5" t="n"/>
      <c r="C285" s="6" t="n"/>
      <c r="D285" s="8" t="n"/>
      <c r="E285" s="8" t="n"/>
      <c r="F285" s="8">
        <f>IF(A289="","",SUMIFS(Operatsiyalar!$I:$I,Operatsiyalar!$C:$C,A289,Operatsiyalar!$E:$E,"kirim"))</f>
        <v/>
      </c>
      <c r="G285" s="8">
        <f>IF(A289="","",SUMIFS(Operatsiyalar!$J:$J,Operatsiyalar!$C:$C,A289,Operatsiyalar!$E:$E,"kirim"))</f>
        <v/>
      </c>
      <c r="H285" s="8">
        <f>IF(A289="","",SUMIFS(Operatsiyalar!$I:$I,Operatsiyalar!$C:$C,A289,Operatsiyalar!$E:$E,"chiqim"))</f>
        <v/>
      </c>
      <c r="I285" s="8">
        <f>IF(A289="","",SUMIFS(Operatsiyalar!$J:$J,Operatsiyalar!$C:$C,A289,Operatsiyalar!$E:$E,"chiqim"))</f>
        <v/>
      </c>
      <c r="J285" s="8">
        <f>IF(A289="","",D289+H289-F289)</f>
        <v/>
      </c>
      <c r="K285" s="8">
        <f>IF(A289="","",E289+I289-G289)</f>
        <v/>
      </c>
    </row>
    <row r="286">
      <c r="A286" s="5" t="n"/>
      <c r="B286" s="5" t="n"/>
      <c r="C286" s="6" t="n"/>
      <c r="D286" s="8" t="n"/>
      <c r="E286" s="8" t="n"/>
      <c r="F286" s="8">
        <f>IF(A290="","",SUMIFS(Operatsiyalar!$I:$I,Operatsiyalar!$C:$C,A290,Operatsiyalar!$E:$E,"kirim"))</f>
        <v/>
      </c>
      <c r="G286" s="8">
        <f>IF(A290="","",SUMIFS(Operatsiyalar!$J:$J,Operatsiyalar!$C:$C,A290,Operatsiyalar!$E:$E,"kirim"))</f>
        <v/>
      </c>
      <c r="H286" s="8">
        <f>IF(A290="","",SUMIFS(Operatsiyalar!$I:$I,Operatsiyalar!$C:$C,A290,Operatsiyalar!$E:$E,"chiqim"))</f>
        <v/>
      </c>
      <c r="I286" s="8">
        <f>IF(A290="","",SUMIFS(Operatsiyalar!$J:$J,Operatsiyalar!$C:$C,A290,Operatsiyalar!$E:$E,"chiqim"))</f>
        <v/>
      </c>
      <c r="J286" s="8">
        <f>IF(A290="","",D290+H290-F290)</f>
        <v/>
      </c>
      <c r="K286" s="8">
        <f>IF(A290="","",E290+I290-G290)</f>
        <v/>
      </c>
    </row>
    <row r="287">
      <c r="A287" s="5" t="n"/>
      <c r="B287" s="5" t="n"/>
      <c r="C287" s="6" t="n"/>
      <c r="D287" s="8" t="n"/>
      <c r="E287" s="8" t="n"/>
      <c r="F287" s="8">
        <f>IF(A291="","",SUMIFS(Operatsiyalar!$I:$I,Operatsiyalar!$C:$C,A291,Operatsiyalar!$E:$E,"kirim"))</f>
        <v/>
      </c>
      <c r="G287" s="8">
        <f>IF(A291="","",SUMIFS(Operatsiyalar!$J:$J,Operatsiyalar!$C:$C,A291,Operatsiyalar!$E:$E,"kirim"))</f>
        <v/>
      </c>
      <c r="H287" s="8">
        <f>IF(A291="","",SUMIFS(Operatsiyalar!$I:$I,Operatsiyalar!$C:$C,A291,Operatsiyalar!$E:$E,"chiqim"))</f>
        <v/>
      </c>
      <c r="I287" s="8">
        <f>IF(A291="","",SUMIFS(Operatsiyalar!$J:$J,Operatsiyalar!$C:$C,A291,Operatsiyalar!$E:$E,"chiqim"))</f>
        <v/>
      </c>
      <c r="J287" s="8">
        <f>IF(A291="","",D291+H291-F291)</f>
        <v/>
      </c>
      <c r="K287" s="8">
        <f>IF(A291="","",E291+I291-G291)</f>
        <v/>
      </c>
    </row>
    <row r="288">
      <c r="A288" s="5" t="n"/>
      <c r="B288" s="5" t="n"/>
      <c r="C288" s="6" t="n"/>
      <c r="D288" s="8" t="n"/>
      <c r="E288" s="8" t="n"/>
      <c r="F288" s="8">
        <f>IF(A292="","",SUMIFS(Operatsiyalar!$I:$I,Operatsiyalar!$C:$C,A292,Operatsiyalar!$E:$E,"kirim"))</f>
        <v/>
      </c>
      <c r="G288" s="8">
        <f>IF(A292="","",SUMIFS(Operatsiyalar!$J:$J,Operatsiyalar!$C:$C,A292,Operatsiyalar!$E:$E,"kirim"))</f>
        <v/>
      </c>
      <c r="H288" s="8">
        <f>IF(A292="","",SUMIFS(Operatsiyalar!$I:$I,Operatsiyalar!$C:$C,A292,Operatsiyalar!$E:$E,"chiqim"))</f>
        <v/>
      </c>
      <c r="I288" s="8">
        <f>IF(A292="","",SUMIFS(Operatsiyalar!$J:$J,Operatsiyalar!$C:$C,A292,Operatsiyalar!$E:$E,"chiqim"))</f>
        <v/>
      </c>
      <c r="J288" s="8">
        <f>IF(A292="","",D292+H292-F292)</f>
        <v/>
      </c>
      <c r="K288" s="8">
        <f>IF(A292="","",E292+I292-G292)</f>
        <v/>
      </c>
    </row>
    <row r="289">
      <c r="A289" s="5" t="n"/>
      <c r="B289" s="5" t="n"/>
      <c r="C289" s="6" t="n"/>
      <c r="D289" s="8" t="n"/>
      <c r="E289" s="8" t="n"/>
      <c r="F289" s="8">
        <f>IF(A293="","",SUMIFS(Operatsiyalar!$I:$I,Operatsiyalar!$C:$C,A293,Operatsiyalar!$E:$E,"kirim"))</f>
        <v/>
      </c>
      <c r="G289" s="8">
        <f>IF(A293="","",SUMIFS(Operatsiyalar!$J:$J,Operatsiyalar!$C:$C,A293,Operatsiyalar!$E:$E,"kirim"))</f>
        <v/>
      </c>
      <c r="H289" s="8">
        <f>IF(A293="","",SUMIFS(Operatsiyalar!$I:$I,Operatsiyalar!$C:$C,A293,Operatsiyalar!$E:$E,"chiqim"))</f>
        <v/>
      </c>
      <c r="I289" s="8">
        <f>IF(A293="","",SUMIFS(Operatsiyalar!$J:$J,Operatsiyalar!$C:$C,A293,Operatsiyalar!$E:$E,"chiqim"))</f>
        <v/>
      </c>
      <c r="J289" s="8">
        <f>IF(A293="","",D293+H293-F293)</f>
        <v/>
      </c>
      <c r="K289" s="8">
        <f>IF(A293="","",E293+I293-G293)</f>
        <v/>
      </c>
    </row>
    <row r="290">
      <c r="A290" s="5" t="n"/>
      <c r="B290" s="5" t="n"/>
      <c r="C290" s="6" t="n"/>
      <c r="D290" s="8" t="n"/>
      <c r="E290" s="8" t="n"/>
      <c r="F290" s="8">
        <f>IF(A294="","",SUMIFS(Operatsiyalar!$I:$I,Operatsiyalar!$C:$C,A294,Operatsiyalar!$E:$E,"kirim"))</f>
        <v/>
      </c>
      <c r="G290" s="8">
        <f>IF(A294="","",SUMIFS(Operatsiyalar!$J:$J,Operatsiyalar!$C:$C,A294,Operatsiyalar!$E:$E,"kirim"))</f>
        <v/>
      </c>
      <c r="H290" s="8">
        <f>IF(A294="","",SUMIFS(Operatsiyalar!$I:$I,Operatsiyalar!$C:$C,A294,Operatsiyalar!$E:$E,"chiqim"))</f>
        <v/>
      </c>
      <c r="I290" s="8">
        <f>IF(A294="","",SUMIFS(Operatsiyalar!$J:$J,Operatsiyalar!$C:$C,A294,Operatsiyalar!$E:$E,"chiqim"))</f>
        <v/>
      </c>
      <c r="J290" s="8">
        <f>IF(A294="","",D294+H294-F294)</f>
        <v/>
      </c>
      <c r="K290" s="8">
        <f>IF(A294="","",E294+I294-G294)</f>
        <v/>
      </c>
    </row>
    <row r="291">
      <c r="A291" s="5" t="n"/>
      <c r="B291" s="5" t="n"/>
      <c r="C291" s="6" t="n"/>
      <c r="D291" s="8" t="n"/>
      <c r="E291" s="8" t="n"/>
      <c r="F291" s="8">
        <f>IF(A295="","",SUMIFS(Operatsiyalar!$I:$I,Operatsiyalar!$C:$C,A295,Operatsiyalar!$E:$E,"kirim"))</f>
        <v/>
      </c>
      <c r="G291" s="8">
        <f>IF(A295="","",SUMIFS(Operatsiyalar!$J:$J,Operatsiyalar!$C:$C,A295,Operatsiyalar!$E:$E,"kirim"))</f>
        <v/>
      </c>
      <c r="H291" s="8">
        <f>IF(A295="","",SUMIFS(Operatsiyalar!$I:$I,Operatsiyalar!$C:$C,A295,Operatsiyalar!$E:$E,"chiqim"))</f>
        <v/>
      </c>
      <c r="I291" s="8">
        <f>IF(A295="","",SUMIFS(Operatsiyalar!$J:$J,Operatsiyalar!$C:$C,A295,Operatsiyalar!$E:$E,"chiqim"))</f>
        <v/>
      </c>
      <c r="J291" s="8">
        <f>IF(A295="","",D295+H295-F295)</f>
        <v/>
      </c>
      <c r="K291" s="8">
        <f>IF(A295="","",E295+I295-G295)</f>
        <v/>
      </c>
    </row>
    <row r="292">
      <c r="A292" s="5" t="n"/>
      <c r="B292" s="5" t="n"/>
      <c r="C292" s="6" t="n"/>
      <c r="D292" s="8" t="n"/>
      <c r="E292" s="8" t="n"/>
      <c r="F292" s="8">
        <f>IF(A296="","",SUMIFS(Operatsiyalar!$I:$I,Operatsiyalar!$C:$C,A296,Operatsiyalar!$E:$E,"kirim"))</f>
        <v/>
      </c>
      <c r="G292" s="8">
        <f>IF(A296="","",SUMIFS(Operatsiyalar!$J:$J,Operatsiyalar!$C:$C,A296,Operatsiyalar!$E:$E,"kirim"))</f>
        <v/>
      </c>
      <c r="H292" s="8">
        <f>IF(A296="","",SUMIFS(Operatsiyalar!$I:$I,Operatsiyalar!$C:$C,A296,Operatsiyalar!$E:$E,"chiqim"))</f>
        <v/>
      </c>
      <c r="I292" s="8">
        <f>IF(A296="","",SUMIFS(Operatsiyalar!$J:$J,Operatsiyalar!$C:$C,A296,Operatsiyalar!$E:$E,"chiqim"))</f>
        <v/>
      </c>
      <c r="J292" s="8">
        <f>IF(A296="","",D296+H296-F296)</f>
        <v/>
      </c>
      <c r="K292" s="8">
        <f>IF(A296="","",E296+I296-G296)</f>
        <v/>
      </c>
    </row>
    <row r="293">
      <c r="A293" s="5" t="n"/>
      <c r="B293" s="5" t="n"/>
      <c r="C293" s="6" t="n"/>
      <c r="D293" s="8" t="n"/>
      <c r="E293" s="8" t="n"/>
      <c r="F293" s="8">
        <f>IF(A297="","",SUMIFS(Operatsiyalar!$I:$I,Operatsiyalar!$C:$C,A297,Operatsiyalar!$E:$E,"kirim"))</f>
        <v/>
      </c>
      <c r="G293" s="8">
        <f>IF(A297="","",SUMIFS(Operatsiyalar!$J:$J,Operatsiyalar!$C:$C,A297,Operatsiyalar!$E:$E,"kirim"))</f>
        <v/>
      </c>
      <c r="H293" s="8">
        <f>IF(A297="","",SUMIFS(Operatsiyalar!$I:$I,Operatsiyalar!$C:$C,A297,Operatsiyalar!$E:$E,"chiqim"))</f>
        <v/>
      </c>
      <c r="I293" s="8">
        <f>IF(A297="","",SUMIFS(Operatsiyalar!$J:$J,Operatsiyalar!$C:$C,A297,Operatsiyalar!$E:$E,"chiqim"))</f>
        <v/>
      </c>
      <c r="J293" s="8">
        <f>IF(A297="","",D297+H297-F297)</f>
        <v/>
      </c>
      <c r="K293" s="8">
        <f>IF(A297="","",E297+I297-G297)</f>
        <v/>
      </c>
    </row>
    <row r="294">
      <c r="A294" s="5" t="n"/>
      <c r="B294" s="5" t="n"/>
      <c r="C294" s="6" t="n"/>
      <c r="D294" s="8" t="n"/>
      <c r="E294" s="8" t="n"/>
      <c r="F294" s="8">
        <f>IF(A298="","",SUMIFS(Operatsiyalar!$I:$I,Operatsiyalar!$C:$C,A298,Operatsiyalar!$E:$E,"kirim"))</f>
        <v/>
      </c>
      <c r="G294" s="8">
        <f>IF(A298="","",SUMIFS(Operatsiyalar!$J:$J,Operatsiyalar!$C:$C,A298,Operatsiyalar!$E:$E,"kirim"))</f>
        <v/>
      </c>
      <c r="H294" s="8">
        <f>IF(A298="","",SUMIFS(Operatsiyalar!$I:$I,Operatsiyalar!$C:$C,A298,Operatsiyalar!$E:$E,"chiqim"))</f>
        <v/>
      </c>
      <c r="I294" s="8">
        <f>IF(A298="","",SUMIFS(Operatsiyalar!$J:$J,Operatsiyalar!$C:$C,A298,Operatsiyalar!$E:$E,"chiqim"))</f>
        <v/>
      </c>
      <c r="J294" s="8">
        <f>IF(A298="","",D298+H298-F298)</f>
        <v/>
      </c>
      <c r="K294" s="8">
        <f>IF(A298="","",E298+I298-G298)</f>
        <v/>
      </c>
    </row>
    <row r="295">
      <c r="A295" s="5" t="n"/>
      <c r="B295" s="5" t="n"/>
      <c r="C295" s="6" t="n"/>
      <c r="D295" s="8" t="n"/>
      <c r="E295" s="8" t="n"/>
      <c r="F295" s="8">
        <f>IF(A299="","",SUMIFS(Operatsiyalar!$I:$I,Operatsiyalar!$C:$C,A299,Operatsiyalar!$E:$E,"kirim"))</f>
        <v/>
      </c>
      <c r="G295" s="8">
        <f>IF(A299="","",SUMIFS(Operatsiyalar!$J:$J,Operatsiyalar!$C:$C,A299,Operatsiyalar!$E:$E,"kirim"))</f>
        <v/>
      </c>
      <c r="H295" s="8">
        <f>IF(A299="","",SUMIFS(Operatsiyalar!$I:$I,Operatsiyalar!$C:$C,A299,Operatsiyalar!$E:$E,"chiqim"))</f>
        <v/>
      </c>
      <c r="I295" s="8">
        <f>IF(A299="","",SUMIFS(Operatsiyalar!$J:$J,Operatsiyalar!$C:$C,A299,Operatsiyalar!$E:$E,"chiqim"))</f>
        <v/>
      </c>
      <c r="J295" s="8">
        <f>IF(A299="","",D299+H299-F299)</f>
        <v/>
      </c>
      <c r="K295" s="8">
        <f>IF(A299="","",E299+I299-G299)</f>
        <v/>
      </c>
    </row>
    <row r="296">
      <c r="A296" s="5" t="n"/>
      <c r="B296" s="5" t="n"/>
      <c r="C296" s="6" t="n"/>
      <c r="D296" s="8" t="n"/>
      <c r="E296" s="8" t="n"/>
      <c r="F296" s="8">
        <f>IF(A300="","",SUMIFS(Operatsiyalar!$I:$I,Operatsiyalar!$C:$C,A300,Operatsiyalar!$E:$E,"kirim"))</f>
        <v/>
      </c>
      <c r="G296" s="8">
        <f>IF(A300="","",SUMIFS(Operatsiyalar!$J:$J,Operatsiyalar!$C:$C,A300,Operatsiyalar!$E:$E,"kirim"))</f>
        <v/>
      </c>
      <c r="H296" s="8">
        <f>IF(A300="","",SUMIFS(Operatsiyalar!$I:$I,Operatsiyalar!$C:$C,A300,Operatsiyalar!$E:$E,"chiqim"))</f>
        <v/>
      </c>
      <c r="I296" s="8">
        <f>IF(A300="","",SUMIFS(Operatsiyalar!$J:$J,Operatsiyalar!$C:$C,A300,Operatsiyalar!$E:$E,"chiqim"))</f>
        <v/>
      </c>
      <c r="J296" s="8">
        <f>IF(A300="","",D300+H300-F300)</f>
        <v/>
      </c>
      <c r="K296" s="8">
        <f>IF(A300="","",E300+I300-G300)</f>
        <v/>
      </c>
    </row>
    <row r="297">
      <c r="A297" s="5" t="n"/>
      <c r="B297" s="5" t="n"/>
      <c r="C297" s="6" t="n"/>
      <c r="D297" s="8" t="n"/>
      <c r="E297" s="8" t="n"/>
      <c r="F297" s="8">
        <f>IF(A301="","",SUMIFS(Operatsiyalar!$I:$I,Operatsiyalar!$C:$C,A301,Operatsiyalar!$E:$E,"kirim"))</f>
        <v/>
      </c>
      <c r="G297" s="8">
        <f>IF(A301="","",SUMIFS(Operatsiyalar!$J:$J,Operatsiyalar!$C:$C,A301,Operatsiyalar!$E:$E,"kirim"))</f>
        <v/>
      </c>
      <c r="H297" s="8">
        <f>IF(A301="","",SUMIFS(Operatsiyalar!$I:$I,Operatsiyalar!$C:$C,A301,Operatsiyalar!$E:$E,"chiqim"))</f>
        <v/>
      </c>
      <c r="I297" s="8">
        <f>IF(A301="","",SUMIFS(Operatsiyalar!$J:$J,Operatsiyalar!$C:$C,A301,Operatsiyalar!$E:$E,"chiqim"))</f>
        <v/>
      </c>
      <c r="J297" s="8">
        <f>IF(A301="","",D301+H301-F301)</f>
        <v/>
      </c>
      <c r="K297" s="8">
        <f>IF(A301="","",E301+I301-G301)</f>
        <v/>
      </c>
    </row>
    <row r="298">
      <c r="A298" s="5" t="n"/>
      <c r="B298" s="5" t="n"/>
      <c r="C298" s="6" t="n"/>
      <c r="D298" s="8" t="n"/>
      <c r="E298" s="8" t="n"/>
      <c r="F298" s="8">
        <f>IF(A302="","",SUMIFS(Operatsiyalar!$I:$I,Operatsiyalar!$C:$C,A302,Operatsiyalar!$E:$E,"kirim"))</f>
        <v/>
      </c>
      <c r="G298" s="8">
        <f>IF(A302="","",SUMIFS(Operatsiyalar!$J:$J,Operatsiyalar!$C:$C,A302,Operatsiyalar!$E:$E,"kirim"))</f>
        <v/>
      </c>
      <c r="H298" s="8">
        <f>IF(A302="","",SUMIFS(Operatsiyalar!$I:$I,Operatsiyalar!$C:$C,A302,Operatsiyalar!$E:$E,"chiqim"))</f>
        <v/>
      </c>
      <c r="I298" s="8">
        <f>IF(A302="","",SUMIFS(Operatsiyalar!$J:$J,Operatsiyalar!$C:$C,A302,Operatsiyalar!$E:$E,"chiqim"))</f>
        <v/>
      </c>
      <c r="J298" s="8">
        <f>IF(A302="","",D302+H302-F302)</f>
        <v/>
      </c>
      <c r="K298" s="8">
        <f>IF(A302="","",E302+I302-G302)</f>
        <v/>
      </c>
    </row>
    <row r="299">
      <c r="A299" s="5" t="n"/>
      <c r="B299" s="5" t="n"/>
      <c r="C299" s="6" t="n"/>
      <c r="D299" s="8" t="n"/>
      <c r="E299" s="8" t="n"/>
      <c r="F299" s="8">
        <f>IF(A303="","",SUMIFS(Operatsiyalar!$I:$I,Operatsiyalar!$C:$C,A303,Operatsiyalar!$E:$E,"kirim"))</f>
        <v/>
      </c>
      <c r="G299" s="8">
        <f>IF(A303="","",SUMIFS(Operatsiyalar!$J:$J,Operatsiyalar!$C:$C,A303,Operatsiyalar!$E:$E,"kirim"))</f>
        <v/>
      </c>
      <c r="H299" s="8">
        <f>IF(A303="","",SUMIFS(Operatsiyalar!$I:$I,Operatsiyalar!$C:$C,A303,Operatsiyalar!$E:$E,"chiqim"))</f>
        <v/>
      </c>
      <c r="I299" s="8">
        <f>IF(A303="","",SUMIFS(Operatsiyalar!$J:$J,Operatsiyalar!$C:$C,A303,Operatsiyalar!$E:$E,"chiqim"))</f>
        <v/>
      </c>
      <c r="J299" s="8">
        <f>IF(A303="","",D303+H303-F303)</f>
        <v/>
      </c>
      <c r="K299" s="8">
        <f>IF(A303="","",E303+I303-G303)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4" t="inlineStr">
        <is>
          <t>Ko'rsatkich</t>
        </is>
      </c>
      <c r="B1" s="15" t="inlineStr">
        <is>
          <t>UZS</t>
        </is>
      </c>
      <c r="C1" s="15" t="inlineStr">
        <is>
          <t>USD</t>
        </is>
      </c>
    </row>
    <row r="2">
      <c r="A2" s="2" t="inlineStr">
        <is>
          <t>Mijozlar to'lagan</t>
        </is>
      </c>
      <c r="B2">
        <f>SUMIFS(Operatsiyalar!$I:$I,Operatsiyalar!$E:$E,"kirim")</f>
        <v/>
      </c>
      <c r="C2">
        <f>SUMIFS(Operatsiyalar!$J:$J,Operatsiyalar!$E:$E,"kirim")</f>
        <v/>
      </c>
    </row>
    <row r="3">
      <c r="A3" s="3" t="inlineStr">
        <is>
          <t>Biz bergan</t>
        </is>
      </c>
      <c r="B3" s="3">
        <f>SUMIFS(Operatsiyalar!$I:$I,Operatsiyalar!$E:$E,"chiqim")</f>
        <v/>
      </c>
      <c r="C3" s="4">
        <f>SUMIFS(Operatsiyalar!$J:$J,Operatsiyalar!$E:$E,"chiqim")</f>
        <v/>
      </c>
    </row>
    <row r="4">
      <c r="A4" s="5" t="inlineStr">
        <is>
          <t>Jami qarz qoldiq</t>
        </is>
      </c>
      <c r="B4" s="9">
        <f>B3-B2</f>
        <v/>
      </c>
      <c r="C4" s="7">
        <f>C3-C2</f>
        <v/>
      </c>
    </row>
    <row r="5">
      <c r="A5" s="5" t="inlineStr">
        <is>
          <t>Operatsiyalar soni</t>
        </is>
      </c>
      <c r="B5" s="9">
        <f>COUNTA(Operatsiyalar!$A:$A)-3</f>
        <v/>
      </c>
      <c r="C5" s="7" t="inlineStr"/>
    </row>
    <row r="6">
      <c r="A6" s="5" t="inlineStr">
        <is>
          <t>Jami qarz qoldiq</t>
        </is>
      </c>
      <c r="B6" s="9">
        <f>B5-B4</f>
        <v/>
      </c>
      <c r="C6" s="7">
        <f>C5-C4</f>
        <v/>
      </c>
    </row>
    <row r="7">
      <c r="A7" s="5" t="inlineStr">
        <is>
          <t>Operatsiyalar soni</t>
        </is>
      </c>
      <c r="B7" s="5">
        <f>COUNTA(Operatsiyalar!$A:$A)-3</f>
        <v/>
      </c>
      <c r="C7" s="6" t="inlineStr"/>
    </row>
    <row r="8">
      <c r="A8" s="5" t="n"/>
      <c r="B8" s="5" t="n"/>
      <c r="C8" s="6" t="n"/>
    </row>
    <row r="9">
      <c r="A9" s="5" t="inlineStr">
        <is>
          <t>Izoh</t>
        </is>
      </c>
      <c r="B9" s="5" t="inlineStr">
        <is>
          <t>Bot: Mijozlar -&gt; amal -&gt; valyuta -&gt; summa -&gt; kurs; Hisobot ikki valyutada chiqadi</t>
        </is>
      </c>
      <c r="C9" s="6" t="n"/>
    </row>
  </sheetData>
  <conditionalFormatting sqref="B6">
    <cfRule type="expression" priority="1" dxfId="0" stopIfTrue="0">
      <formula>B6&gt;0</formula>
    </cfRule>
    <cfRule type="expression" priority="2" dxfId="1" stopIfTrue="0">
      <formula>B6&lt;=0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2026-04-08T11:38:26Z</dcterms:created>
  <dcterms:modified xmlns:dcterms="http://purl.org/dc/terms/" xmlns:xsi="http://www.w3.org/2001/XMLSchema-instance" xsi:type="dcterms:W3CDTF">2026-05-07T12:12:17Z</dcterms:modified>
</cp:coreProperties>
</file>