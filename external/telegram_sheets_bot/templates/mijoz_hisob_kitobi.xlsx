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Sana</t>
        </is>
      </c>
      <c r="B1" s="1" t="inlineStr">
        <is>
          <t>Vaqt</t>
        </is>
      </c>
      <c r="C1" s="1" t="inlineStr">
        <is>
          <t>Mijoz_ID</t>
        </is>
      </c>
      <c r="D1" s="1" t="inlineStr">
        <is>
          <t>Mijoz_nomi</t>
        </is>
      </c>
      <c r="E1" s="1" t="inlineStr">
        <is>
          <t>Turi</t>
        </is>
      </c>
      <c r="F1" s="1" t="inlineStr">
        <is>
          <t>Summa</t>
        </is>
      </c>
      <c r="G1" s="1" t="inlineStr">
        <is>
          <t>Izoh</t>
        </is>
      </c>
      <c r="H1" s="1" t="inlineStr">
        <is>
          <t>Telegram_user</t>
        </is>
      </c>
      <c r="I1" s="1" t="inlineStr">
        <is>
          <t>Matn</t>
        </is>
      </c>
      <c r="J1" s="1" t="inlineStr">
        <is>
          <t>Manba</t>
        </is>
      </c>
    </row>
    <row r="2">
      <c r="A2" t="inlineStr">
        <is>
          <t>2026-04-05</t>
        </is>
      </c>
      <c r="B2" t="inlineStr">
        <is>
          <t>12:00:00</t>
        </is>
      </c>
      <c r="C2" t="inlineStr">
        <is>
          <t>1</t>
        </is>
      </c>
      <c r="D2" t="inlineStr">
        <is>
          <t>Namuna mijoz</t>
        </is>
      </c>
      <c r="E2" t="inlineStr">
        <is>
          <t>kirim</t>
        </is>
      </c>
      <c r="F2" t="n">
        <v>500000</v>
      </c>
      <c r="G2" t="inlineStr">
        <is>
          <t>birinchi qator</t>
        </is>
      </c>
      <c r="H2" t="inlineStr">
        <is>
          <t>@user</t>
        </is>
      </c>
      <c r="I2" t="inlineStr">
        <is>
          <t>kirim 500 ming</t>
        </is>
      </c>
      <c r="J2" t="inlineStr">
        <is>
          <t>matn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Nomi</t>
        </is>
      </c>
      <c r="C1" s="1" t="inlineStr">
        <is>
          <t>Telefon</t>
        </is>
      </c>
      <c r="D1" s="1" t="inlineStr">
        <is>
          <t>Boshlang'ich</t>
        </is>
      </c>
      <c r="E1" s="1" t="inlineStr">
        <is>
          <t>Jami_kirim</t>
        </is>
      </c>
      <c r="F1" s="1" t="inlineStr">
        <is>
          <t>Jami_chiqim</t>
        </is>
      </c>
      <c r="G1" s="1" t="inlineStr">
        <is>
          <t>Qoldiq</t>
        </is>
      </c>
    </row>
    <row r="2">
      <c r="A2" t="n">
        <v>1</v>
      </c>
      <c r="B2" t="inlineStr">
        <is>
          <t>Namuna mijoz</t>
        </is>
      </c>
      <c r="C2" t="inlineStr">
        <is>
          <t>+998901234567</t>
        </is>
      </c>
      <c r="D2" t="n">
        <v>0</v>
      </c>
      <c r="E2">
        <f>SUMIFS(Operatsiyalar!$F:$F,Operatsiyalar!$C:$C,A2,Operatsiyalar!$E:$E,"kirim")</f>
        <v/>
      </c>
      <c r="F2">
        <f>SUMIFS(Operatsiyalar!$F:$F,Operatsiyalar!$C:$C,A2,Operatsiyalar!$E:$E,"chiqim")</f>
        <v/>
      </c>
      <c r="G2">
        <f>D2+E2-F2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Ko'rsatkich</t>
        </is>
      </c>
      <c r="B1" s="1" t="inlineStr">
        <is>
          <t>Qiymat</t>
        </is>
      </c>
    </row>
    <row r="2">
      <c r="A2" t="inlineStr">
        <is>
          <t>Jami kirim</t>
        </is>
      </c>
      <c r="B2">
        <f>SUMIFS(Operatsiyalar!$F:$F,Operatsiyalar!$E:$E,"kirim")</f>
        <v/>
      </c>
    </row>
    <row r="3">
      <c r="A3" t="inlineStr">
        <is>
          <t>Jami chiqim</t>
        </is>
      </c>
      <c r="B3">
        <f>SUMIFS(Operatsiyalar!$F:$F,Operatsiyalar!$E:$E,"chiqim")</f>
        <v/>
      </c>
    </row>
    <row r="4">
      <c r="A4" t="inlineStr">
        <is>
          <t>Farq</t>
        </is>
      </c>
      <c r="B4">
        <f>B2-B3</f>
        <v/>
      </c>
    </row>
    <row r="5">
      <c r="A5" t="inlineStr">
        <is>
          <t>Operatsiyalar soni</t>
        </is>
      </c>
      <c r="B5">
        <f>COUNTA(Operatsiyalar!$A:$A)-1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2026-04-05T15:35:49Z</dcterms:created>
  <dcterms:modified xsi:type="dcterms:W3CDTF">2026-04-05T15:35:49Z</dcterms:modified>
</cp:coreProperties>
</file>